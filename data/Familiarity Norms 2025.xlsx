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mTableCh" sheetId="1" r:id="rId5"/>
    <sheet state="visible" name="Table without comments" sheetId="2" r:id="rId6"/>
    <sheet state="visible" name="Papers" sheetId="3" r:id="rId7"/>
    <sheet state="visible" name="Notes" sheetId="4" r:id="rId8"/>
  </sheets>
  <definedNames>
    <definedName hidden="1" localSheetId="0" name="_xlnm._FilterDatabase">FromTableCh!$A$2:$AE$63</definedName>
    <definedName hidden="1" localSheetId="1" name="_xlnm._FilterDatabase">'Table without comments'!$A$2:$AA$63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tc={0301b232-0f12-4186-b1ea-5250b1a14823}</author>
    <author>tc={0639c23e-5e71-43cb-b08f-409b4aa6a603}</author>
    <author>tc={0858345f-f3fd-4eea-a6a0-2d43465f9be5}</author>
    <author>tc={0ee9dac9-cece-43c1-8704-634b2549ee4c}</author>
    <author>tc={1292ed6f-7c50-4e56-a51d-0bde1d373601}</author>
    <author>tc={13571811-f9e4-4aa8-ab54-b301b2f37829}</author>
    <author>tc={17c452f0-71e6-4b13-8683-b1be91200ed5}</author>
    <author>tc={1ef39ad4-ebfe-49b4-8461-fdbc45a2c065}</author>
    <author>tc={2226c4fc-610e-4a8c-b124-bbab474be89e}</author>
    <author>tc={2a0b61f7-1285-4e9a-a66d-811123892b90}</author>
    <author>tc={2de2b60f-6b1d-4ac4-9671-11bde3367777}</author>
    <author>tc={2ef56a00-3d56-464e-9bf5-2749b0e5bed7}</author>
    <author>tc={30a53f85-94ae-4068-879f-bbc7890147ed}</author>
    <author>tc={367534df-c37e-4608-830b-668b7b61c895}</author>
    <author>tc={370fba09-0387-40a4-b597-fab83fd0e286}</author>
    <author>tc={3993fa80-e0a4-41f8-a26c-1353df96c203}</author>
    <author>tc={3b23e7cd-8b57-4c01-a558-071016387950}</author>
    <author>tc={3f3a0b2b-813f-44d3-9948-47e24d0b6e20}</author>
    <author>tc={418f02dd-4060-4f6f-930f-b1151ec92ca3}</author>
    <author>tc={4a49a8eb-06bc-4f9e-a69e-16175d832630}</author>
    <author>tc={4d4be34e-3a08-49e9-a75b-4a9548c558c5}</author>
    <author>tc={4e782c0c-b3bc-4872-801b-ce6bed83c600}</author>
    <author>tc={531c9fce-48b1-491d-9266-aeef25b9c92b}</author>
    <author>tc={562e98c0-918b-4ad6-bd01-2667faadbd7b}</author>
    <author>tc={5a18c79a-dec0-4746-8d7c-12fe35c5e4b6}</author>
    <author>tc={5e06a0b6-171d-47c4-9a18-088f567af8c3}</author>
    <author>tc={5ed6bf80-61be-4e4e-ba2d-495dcb86a31b}</author>
    <author>tc={6148efe6-3b95-4644-92c1-e0ebed48047b}</author>
    <author>tc={64a6d311-cb49-4967-8324-9be92134c5a7}</author>
    <author>tc={64e40fd4-eb07-43ca-b172-eb53d1ec2cb5}</author>
    <author>tc={68794157-b356-46dd-b9aa-dabf9166220c}</author>
    <author>tc={693e6b22-32d9-4627-b44e-859cecc28ccb}</author>
    <author>tc={6d2fd153-e5ca-4932-b6ef-493079de1805}</author>
    <author>tc={6e93a37f-63b5-4407-926e-59bf90a32564}</author>
    <author>tc={6f9059c8-736f-471f-927b-45e5ee1123dc}</author>
    <author>tc={7353fc4b-e405-48b9-b385-f4985e671021}</author>
    <author>tc={77127ba6-8759-4eaf-8185-9ee6f8ef3c03}</author>
    <author>tc={7d062083-70ab-4d06-b4f5-98c0e35b6984}</author>
    <author>tc={7d82848f-c906-46a9-9c8e-2442de9842e6}</author>
    <author>tc={7e3a6d9d-e33d-4023-88bb-29d2d545dd60}</author>
    <author>tc={7f7d63cb-bc43-47eb-b743-1f7195a3f734}</author>
    <author>tc={80f8e17a-aac7-4d08-b762-01ac223e609d}</author>
    <author>tc={8204b3bf-19ea-4878-b7b2-6abb5616abef}</author>
    <author>tc={8a9e1179-46ed-4b89-8a17-4d60199344f0}</author>
    <author>tc={91d8dbe0-4228-4bf0-9ea9-3e7e202acfb4}</author>
    <author>tc={9317036c-8465-4b41-a9d1-f930135f8925}</author>
    <author>tc={a05919bf-8f67-4067-a838-0e8672ae0fb6}</author>
    <author>tc={a0fa275c-f841-4c26-b6b6-52791da9e15a}</author>
    <author>tc={a4e11b14-d02b-42a1-96c9-572b56556935}</author>
    <author>tc={a54d3423-2d21-4e62-9024-2644c6c1e6a3}</author>
    <author>tc={a639f36a-4e3b-4f5b-88c5-0a36b3a4ead2}</author>
    <author>tc={a944e4cd-f2f1-439f-8708-139c2decb7f0}</author>
    <author>tc={b08fdf5f-52d2-4738-a29c-9df0dc77555b}</author>
    <author>tc={b31b4d1b-99a1-40ac-bf0e-cf6f36d96701}</author>
    <author>tc={b49098c3-ba47-4c4d-a099-53f6a3304621}</author>
    <author>tc={b52c3e44-cbd9-489c-a24a-18e6fcadde28}</author>
    <author>tc={b726f794-4865-43e6-a70d-45ce36dbd7b9}</author>
    <author>tc={bf288940-f304-400c-bc49-7d48d7e622ce}</author>
    <author>tc={c3f32626-56a2-4dd1-b8be-f12278352bdc}</author>
    <author>tc={c5359fce-0654-4051-85cf-f05e8ddceb45}</author>
    <author>tc={c7332bdf-32df-4f6b-8002-31167f5aad79}</author>
    <author>tc={c8d56cd1-69c8-45f7-8a1a-100a9adf70ba}</author>
    <author>tc={cee79eee-5dbc-4493-89bb-fc4c1b4cf216}</author>
    <author>tc={d1545f58-3a1e-4a4b-a313-9fdf7fc359d3}</author>
    <author>tc={d5ebc937-0eaa-4cbd-b903-001bd046f68a}</author>
    <author>tc={d69c0fc1-101f-4c1d-a25a-c3cb715f3d62}</author>
    <author>tc={db499119-afb6-4523-86b9-ed0d43ebd39e}</author>
    <author>tc={ddb036da-1a34-4903-a66d-ce7a1531cc54}</author>
    <author>tc={e01808cd-86d0-4505-ad32-23f300faa80b}</author>
    <author>tc={e34706a1-e86f-4f01-92ff-f522a35eb2f9}</author>
    <author>tc={e560284f-6e07-4d41-b5f8-b4ec635e74b1}</author>
    <author>tc={e5a69548-cb37-4c44-8b03-8a9b75b35cae}</author>
    <author>tc={e5cd6d00-77d7-4d78-b0b6-4a52552a870b}</author>
    <author>tc={e616a7eb-9b06-45a0-b292-1142d2539529}</author>
    <author>tc={e6753089-1687-4130-a53f-f29795eb49b1}</author>
    <author>tc={e90f1e93-0eba-4a16-837d-0a6efe653b33}</author>
    <author>tc={ea600e21-158b-4449-b630-d0dbf07fa4ab}</author>
    <author>tc={f312df3d-f8ec-4a0c-8417-6e0447e837f6}</author>
    <author>tc={f42e6bd9-a8d5-4388-98bc-0e95b32356bc}</author>
    <author>tc={f8bdb3d4-7400-4bc7-888b-f14e77591d1c}</author>
  </authors>
  <commentList>
    <comment authorId="0" xr:uid="{0301b232-0f12-4186-b1ea-5250b1a14823}" ref="H47">
      <text>
        <t xml:space="preserve">[Threaded comment]
 Your version of Excel allows you to read this threaded comment; however, any edits to it will get removed if the file is opened in a newer version of Excel. Learn more: https://go.microsoft.com/fwlink/?linkid=870924
Comment:
	content words that cover the following five grammatical classes: nouns (N), adjectives (ADJ), verbs (V), adverbs (ADV), and interjections (INT), although the majority are nouns and adjectives.
</t>
      </text>
    </comment>
    <comment authorId="1" xr:uid="{0639c23e-5e71-43cb-b08f-409b4aa6a603}" ref="B13">
      <text>
        <t xml:space="preserve">[Threaded comment]
 Your version of Excel allows you to read this threaded comment; however, any edits to it will get removed if the file is opened in a newer version of Excel. Learn more: https://go.microsoft.com/fwlink/?linkid=870924
Comment:
	dubbio ke possa essere un rivista non peer-reviewed in english, ma AI dice ke lo è quindi lo terrei
</t>
      </text>
    </comment>
    <comment authorId="2" xr:uid="{0858345f-f3fd-4eea-a6a0-2d43465f9be5}" ref="K7">
      <text>
        <t xml:space="preserve">[Threaded comment]
 Your version of Excel allows you to read this threaded comment; however, any edits to it will get removed if the file is opened in a newer version of Excel. Learn more: https://go.microsoft.com/fwlink/?linkid=870924
Comment:
	/4? Perché le variabili valutate sono 4 e i ss valutavano una sola variabile
</t>
      </text>
    </comment>
    <comment authorId="3" xr:uid="{0ee9dac9-cece-43c1-8704-634b2549ee4c}" ref="L16">
      <text>
        <t xml:space="preserve">[Threaded comment]
 Your version of Excel allows you to read this threaded comment; however, any edits to it will get removed if the file is opened in a newer version of Excel. Learn more: https://go.microsoft.com/fwlink/?linkid=870924
Comment:
	Each participant provided ratings
for only one variable so that the ratings for one variable could
not influence or contaminate the ratings for another variable.
</t>
      </text>
    </comment>
    <comment authorId="4" xr:uid="{1292ed6f-7c50-4e56-a51d-0bde1d373601}" ref="M58">
      <text>
        <t xml:space="preserve">[Threaded comment]
 Your version of Excel allows you to read this threaded comment; however, any edits to it will get removed if the file is opened in a newer version of Excel. Learn more: https://go.microsoft.com/fwlink/?linkid=870924
Comment:
	please, check on the raw data
</t>
      </text>
    </comment>
    <comment authorId="5" xr:uid="{13571811-f9e4-4aa8-ab54-b301b2f37829}" ref="O50">
      <text>
        <t xml:space="preserve">[Threaded comment]
 Your version of Excel allows you to read this threaded comment; however, any edits to it will get removed if the file is opened in a newer version of Excel. Learn more: https://go.microsoft.com/fwlink/?linkid=870924
Comment:
	derivate dalle istruzioni, ma non è chiaro se sulla scala erano segnate. Non ci sono ulteriori informazioni.
</t>
      </text>
    </comment>
    <comment authorId="6" xr:uid="{17c452f0-71e6-4b13-8683-b1be91200ed5}" ref="AB2">
      <text>
        <t xml:space="preserve">[Threaded comment]
 Your version of Excel allows you to read this threaded comment; however, any edits to it will get removed if the file is opened in a newer version of Excel. Learn more: https://go.microsoft.com/fwlink/?linkid=870924
Comment:
	to be honest I didn't check for all the papers if we have the english translations of the stimuli, but if this info can be useful for some analyses I'll do it ;)
</t>
      </text>
    </comment>
    <comment authorId="7" xr:uid="{1ef39ad4-ebfe-49b4-8461-fdbc45a2c065}" ref="N32">
      <text>
        <t xml:space="preserve">[Threaded comment]
 Your version of Excel allows you to read this threaded comment; however, any edits to it will get removed if the file is opened in a newer version of Excel. Learn more: https://go.microsoft.com/fwlink/?linkid=870924
Comment:
	"scale from 0 (extreme left" to 100 (extreme right)
</t>
      </text>
    </comment>
    <comment authorId="8" xr:uid="{2226c4fc-610e-4a8c-b124-bbab474be89e}" ref="S34">
      <text>
        <t xml:space="preserve">[Threaded comment]
 Your version of Excel allows you to read this threaded comment; however, any edits to it will get removed if the file is opened in a newer version of Excel. Learn more: https://go.microsoft.com/fwlink/?linkid=870924
Comment:
	IMPORTANT: Care was taken to make sure that the estimate had been attributed to the concept itself and not the word
</t>
      </text>
    </comment>
    <comment authorId="9" xr:uid="{2a0b61f7-1285-4e9a-a66d-811123892b90}" ref="T32">
      <text>
        <t xml:space="preserve">[Threaded comment]
 Your version of Excel allows you to read this threaded comment; however, any edits to it will get removed if the file is opened in a newer version of Excel. Learn more: https://go.microsoft.com/fwlink/?linkid=870924
Comment:
	6 participants excluded for invariant responses
5 for mean scores ±3.5 SD from the session mean
ma non ho trovato "having excessive response times"
Reply:
	fatto. Ho sistemato anche l'eliminazione dei singoli rating in base ai due criteri nell'articolo
</t>
      </text>
    </comment>
    <comment authorId="10" xr:uid="{2de2b60f-6b1d-4ac4-9671-11bde3367777}" ref="G2">
      <text>
        <t xml:space="preserve">[Threaded comment]
 Your version of Excel allows you to read this threaded comment; however, any edits to it will get removed if the file is opened in a newer version of Excel. Learn more: https://go.microsoft.com/fwlink/?linkid=870924
Comment:
	aggiungere variante
</t>
      </text>
    </comment>
    <comment authorId="11" xr:uid="{2ef56a00-3d56-464e-9bf5-2749b0e5bed7}" ref="W12">
      <text>
        <t xml:space="preserve">[Threaded comment]
 Your version of Excel allows you to read this threaded comment; however, any edits to it will get removed if the file is opened in a newer version of Excel. Learn more: https://go.microsoft.com/fwlink/?linkid=870924
Comment:
	ho solo un dubbio se riportare tutti i beta dei modelli di regressione. Per ora ho messo solo i valori tabella 2 e 3 (il range)
Reply:
	mmmm tab 3 no...
dobbiam parlare di queto
</t>
      </text>
    </comment>
    <comment authorId="12" xr:uid="{30a53f85-94ae-4068-879f-bbc7890147ed}" ref="O14">
      <text>
        <t xml:space="preserve">[Threaded comment]
 Your version of Excel allows you to read this threaded comment; however, any edits to it will get removed if the file is opened in a newer version of Excel. Learn more: https://go.microsoft.com/fwlink/?linkid=870924
Comment:
	subf was administered after concreteness dimension. Can increase the "familiarity" of the concept? Perhaps familiarity as it is described here not, but familiarity in general yes...
</t>
      </text>
    </comment>
    <comment authorId="13" xr:uid="{367534df-c37e-4608-830b-668b7b61c895}" ref="L30">
      <text>
        <t xml:space="preserve">[Threaded comment]
 Your version of Excel allows you to read this threaded comment; however, any edits to it will get removed if the file is opened in a newer version of Excel. Learn more: https://go.microsoft.com/fwlink/?linkid=870924
Comment:
	4 age groups
Reply:
	sistemato, grazie!
</t>
      </text>
    </comment>
    <comment authorId="14" xr:uid="{370fba09-0387-40a4-b597-fab83fd0e286}" ref="M26">
      <text>
        <t xml:space="preserve">[Threaded comment]
 Your version of Excel allows you to read this threaded comment; however, any edits to it will get removed if the file is opened in a newer version of Excel. Learn more: https://go.microsoft.com/fwlink/?linkid=870924
Comment:
	visto che tutti i partecipanti hanno dato ratings di familiarity qui si può mettere 210?
Reply:
	i soggetti valutavano 3 scale alla volta. Quindi solo la metà dei partecipanti per gruppo in teoria valutava la familiarità. Ma non è detto esplicitamente. Quindi forse ci metterei la metà dei ss per gruppo con un ? Ho controllato il database e non c'è il numero di ss per stimolo ma sl M e SD
</t>
      </text>
    </comment>
    <comment authorId="15" xr:uid="{3993fa80-e0a4-41f8-a26c-1353df96c203}" ref="W32">
      <text>
        <t xml:space="preserve">[Threaded comment]
 Your version of Excel allows you to read this threaded comment; however, any edits to it will get removed if the file is opened in a newer version of Excel. Learn more: https://go.microsoft.com/fwlink/?linkid=870924
Comment:
	da cambiare correlazione con imageability che è .38
Reply:
	fatto, grazie!
</t>
      </text>
    </comment>
    <comment authorId="16" xr:uid="{3b23e7cd-8b57-4c01-a558-071016387950}" ref="AA15">
      <text>
        <t xml:space="preserve">[Threaded comment]
 Your version of Excel allows you to read this threaded comment; however, any edits to it will get removed if the file is opened in a newer version of Excel. Learn more: https://go.microsoft.com/fwlink/?linkid=870924
Comment:
	non so se dobbiamo mettere il link al materiale supplementare oppure il link all'articolo xké il database è il mat sup dell'articolo... io ora ho messo al materiale sup, se dobbiamo mettere all'articolo in pratica è il doi: https://doi.org/10.3758/BRM.40.4.1030
Reply:
	secondo me link a SM
1 reazione in totale
Maria Montefinese ha aggiunto la reazione 👍 (2026-02-23 13:33 PM)
</t>
      </text>
    </comment>
    <comment authorId="17" xr:uid="{3f3a0b2b-813f-44d3-9948-47e24d0b6e20}" ref="Z38">
      <text>
        <t xml:space="preserve">[Threaded comment]
 Your version of Excel allows you to read this threaded comment; however, any edits to it will get removed if the file is opened in a newer version of Excel. Learn more: https://go.microsoft.com/fwlink/?linkid=870924
Comment:
	In realtà si trovano sempre a questo link. https://doi.org/10.17605/OSF.IO/M6PH9 Precisamente nel survey 3: https://osf.io/m6ph9/files/u74c9
Reply:
	grazie! Fatto.
</t>
      </text>
    </comment>
    <comment authorId="18" xr:uid="{418f02dd-4060-4f6f-930f-b1151ec92ca3}" ref="M38">
      <text>
        <t xml:space="preserve">[Threaded comment]
 Your version of Excel allows you to read this threaded comment; however, any edits to it will get removed if the file is opened in a newer version of Excel. Learn more: https://go.microsoft.com/fwlink/?linkid=870924
Comment:
	email ilenia.falcinelli@uniroma1.it.
</t>
      </text>
    </comment>
    <comment authorId="19" xr:uid="{4a49a8eb-06bc-4f9e-a69e-16175d832630}" ref="O16">
      <text>
        <t xml:space="preserve">[Threaded comment]
 Your version of Excel allows you to read this threaded comment; however, any edits to it will get removed if the file is opened in a newer version of Excel. Learn more: https://go.microsoft.com/fwlink/?linkid=870924
Comment:
	derived from De Deyne 2008
</t>
      </text>
    </comment>
    <comment authorId="20" xr:uid="{4d4be34e-3a08-49e9-a75b-4a9548c558c5}" ref="M30">
      <text>
        <t xml:space="preserve">[Threaded comment]
 Your version of Excel allows you to read this threaded comment; however, any edits to it will get removed if the file is opened in a newer version of Excel. Learn more: https://go.microsoft.com/fwlink/?linkid=870924
Comment:
	30 (partecipanti minimi)×4 (gruppi di età)=120 valutatori totali per ogni parola
"the 1238 participants were divided randomly
into eight groups, each group being given one version of the
questionnaire, in which they were asked to rate the words in
terms of subjective frequency or imageability. In short, each
version of the questionnaire contained between 320 and 322
words and was completed by at least 30 participants in each of
the four age groups."
Reply:
	scaricato i file dei dati e il minimo di ss che hanno per parola è 137 (across age)
</t>
      </text>
    </comment>
    <comment authorId="21" xr:uid="{4e782c0c-b3bc-4872-801b-ce6bed83c600}" ref="M35">
      <text>
        <t xml:space="preserve">[Threaded comment]
 Your version of Excel allows you to read this threaded comment; however, any edits to it will get removed if the file is opened in a newer version of Excel. Learn more: https://go.microsoft.com/fwlink/?linkid=870924
Comment:
	max 87
Reply:
	fatto
</t>
      </text>
    </comment>
    <comment authorId="22" xr:uid="{531c9fce-48b1-491d-9266-aeef25b9c92b}" ref="M53">
      <text>
        <t xml:space="preserve">[Threaded comment]
 Your version of Excel allows you to read this threaded comment; however, any edits to it will get removed if the file is opened in a newer version of Excel. Learn more: https://go.microsoft.com/fwlink/?linkid=870924
Comment:
	perchè 15? io direi solo 38 (visto che non dicono poi nulla su data cleaning )
</t>
      </text>
    </comment>
    <comment authorId="23" xr:uid="{562e98c0-918b-4ad6-bd01-2667faadbd7b}" ref="V14">
      <text>
        <t xml:space="preserve">[Threaded comment]
 Your version of Excel allows you to read this threaded comment; however, any edits to it will get removed if the file is opened in a newer version of Excel. Learn more: https://go.microsoft.com/fwlink/?linkid=870924
Comment:
	no info se hanno corretto con la formula Spearman-Brown
</t>
      </text>
    </comment>
    <comment authorId="24" xr:uid="{5a18c79a-dec0-4746-8d7c-12fe35c5e4b6}" ref="M38">
      <text>
        <t xml:space="preserve">[Threaded comment]
 Your version of Excel allows you to read this threaded comment; however, any edits to it will get removed if the file is opened in a newer version of Excel. Learn more: https://go.microsoft.com/fwlink/?linkid=870924
Comment:
	Survey 3 assessed Social Metacognition (SM) and Familiarity (FAM). Twenty participants completed the survey, which included all 200 words. As a result, each word received 20 ratings on the familiarity dimension.
Reply:
	fatto, thanks!
</t>
      </text>
    </comment>
    <comment authorId="25" xr:uid="{5e06a0b6-171d-47c4-9a18-088f567af8c3}" ref="S56">
      <text>
        <t xml:space="preserve">[Threaded comment]
 Your version of Excel allows you to read this threaded comment; however, any edits to it will get removed if the file is opened in a newer version of Excel. Learn more: https://go.microsoft.com/fwlink/?linkid=870924
Comment:
	In realtà dire che è un mix: "participants were instructed to take into account the extent to which they knew the meaning of a word, as well as the frequency with which they used it. The word mano (“hand”) was used as an example of a very familiar word, whereas quark (“quark”) was the example of a very unfamiliar word."
Reply:
	fatto
</t>
      </text>
    </comment>
    <comment authorId="26" xr:uid="{5ed6bf80-61be-4e4e-ba2d-495dcb86a31b}" ref="S8">
      <text>
        <t xml:space="preserve">[Threaded comment]
 Your version of Excel allows you to read this threaded comment; however, any edits to it will get removed if the file is opened in a newer version of Excel. Learn more: https://go.microsoft.com/fwlink/?linkid=870924
Comment:
	defined familiarity but it is actually subjective frequency
</t>
      </text>
    </comment>
    <comment authorId="27" xr:uid="{6148efe6-3b95-4644-92c1-e0ebed48047b}" ref="AD2">
      <text>
        <t xml:space="preserve">[Threaded comment]
 Your version of Excel allows you to read this threaded comment; however, any edits to it will get removed if the file is opened in a newer version of Excel. Learn more: https://go.microsoft.com/fwlink/?linkid=870924
Comment:
	the orange ones have not been copied in the clean table in the other sheet
</t>
      </text>
    </comment>
    <comment authorId="28" xr:uid="{64a6d311-cb49-4967-8324-9be92134c5a7}" ref="AA7">
      <text>
        <t xml:space="preserve">[Threaded comment]
 Your version of Excel allows you to read this threaded comment; however, any edits to it will get removed if the file is opened in a newer version of Excel. Learn more: https://go.microsoft.com/fwlink/?linkid=870924
Comment:
	send email to the authors to ask for the database
</t>
      </text>
    </comment>
    <comment authorId="29" xr:uid="{64e40fd4-eb07-43ca-b172-eb53d1ec2cb5}" ref="N26">
      <text>
        <t xml:space="preserve">[Threaded comment]
 Your version of Excel allows you to read this threaded comment; however, any edits to it will get removed if the file is opened in a newer version of Excel. Learn more: https://go.microsoft.com/fwlink/?linkid=870924
Comment:
	fully sliding visual analogue scale--&gt; then responses converted to a score from 0 to 9 by the program
Reply:
	fatto
</t>
      </text>
    </comment>
    <comment authorId="30" xr:uid="{68794157-b356-46dd-b9aa-dabf9166220c}" ref="P2">
      <text>
        <t xml:space="preserve">[Threaded comment]
 Your version of Excel allows you to read this threaded comment; however, any edits to it will get removed if the file is opened in a newer version of Excel. Learn more: https://go.microsoft.com/fwlink/?linkid=870924
Comment:
	estrarre info origine istruzioni
Reply:
	for the network graph
</t>
      </text>
    </comment>
    <comment authorId="31" xr:uid="{693e6b22-32d9-4627-b44e-859cecc28ccb}" ref="A18">
      <text>
        <t xml:space="preserve">[Threaded comment]
 Your version of Excel allows you to read this threaded comment; however, any edits to it will get removed if the file is opened in a newer version of Excel. Learn more: https://go.microsoft.com/fwlink/?linkid=870924
Comment:
	controlla il numero di stimoli x ss
</t>
      </text>
    </comment>
    <comment authorId="32" xr:uid="{6d2fd153-e5ca-4932-b6ef-493079de1805}" ref="O7">
      <text>
        <t xml:space="preserve">[Threaded comment]
 Your version of Excel allows you to read this threaded comment; however, any edits to it will get removed if the file is opened in a newer version of Excel. Learn more: https://go.microsoft.com/fwlink/?linkid=870924
Comment:
	non ho trovato info. Dice ke si rifa a Barca 2002. Scriverei agli autori.
</t>
      </text>
    </comment>
    <comment authorId="33" xr:uid="{6e93a37f-63b5-4407-926e-59bf90a32564}" ref="W57">
      <text>
        <t xml:space="preserve">[Threaded comment]
 Your version of Excel allows you to read this threaded comment; however, any edits to it will get removed if the file is opened in a newer version of Excel. Learn more: https://go.microsoft.com/fwlink/?linkid=870924
Comment:
	with frequency: .692
with imageability: .213
with word length: -.124
with AoA: -.545
</t>
      </text>
    </comment>
    <comment authorId="34" xr:uid="{6f9059c8-736f-471f-927b-45e5ee1123dc}" ref="Y57">
      <text>
        <t xml:space="preserve">[Threaded comment]
 Your version of Excel allows you to read this threaded comment; however, any edits to it will get removed if the file is opened in a newer version of Excel. Learn more: https://go.microsoft.com/fwlink/?linkid=870924
Comment:
	- AoA and imageability + word length and morpheme count for each word
- Frequency values taken from Goz (2003) --&gt; quindi non raccolti qui
- Name agreement and complexity ratings for each picture
Reply:
	anche se poi scrivono "Word length and frequency values were also determined."
</t>
      </text>
    </comment>
    <comment authorId="35" xr:uid="{7353fc4b-e405-48b9-b385-f4985e671021}" ref="Z10">
      <text>
        <t xml:space="preserve">[Threaded comment]
 Your version of Excel allows you to read this threaded comment; however, any edits to it will get removed if the file is opened in a newer version of Excel. Learn more: https://go.microsoft.com/fwlink/?linkid=870924
Comment:
	non è chiaro se ci sono i dati grezzi perché c'è una colonna con raw ma sono sempre medie x stimolo
</t>
      </text>
    </comment>
    <comment authorId="36" xr:uid="{77127ba6-8759-4eaf-8185-9ee6f8ef3c03}" ref="I32">
      <text>
        <t xml:space="preserve">[Threaded comment]
 Your version of Excel allows you to read this threaded comment; however, any edits to it will get removed if the file is opened in a newer version of Excel. Learn more: https://go.microsoft.com/fwlink/?linkid=870924
Comment:
	Initially 3600 (same as Desrochers 2009)
Reply:
	then excluded 4 words because
Contrassegnato come risolto
</t>
      </text>
    </comment>
    <comment authorId="37" xr:uid="{7d062083-70ab-4d06-b4f5-98c0e35b6984}" ref="W53">
      <text>
        <t xml:space="preserve">[Threaded comment]
 Your version of Excel allows you to read this threaded comment; however, any edits to it will get removed if the file is opened in a newer version of Excel. Learn more: https://go.microsoft.com/fwlink/?linkid=870924
Comment:
	da cambiare, tenere conto solo della colonna Fam di tab. 4 (i valori che ci sono dovrebbero essere di studi che pure avevano fam)
Reply:
	qui ho aggiunto anche la correlazione con le altre misure nel database dividendole in due tipi. Per il confronto della familiarità del database con la familiarità in altre lingue ho messo il range di variabilità della r. Secondo me non serve metterle tutte e 12.
</t>
      </text>
    </comment>
    <comment authorId="38" xr:uid="{7d82848f-c906-46a9-9c8e-2442de9842e6}" ref="H48">
      <text>
        <t xml:space="preserve">[Threaded comment]
 Your version of Excel allows you to read this threaded comment; however, any edits to it will get removed if the file is opened in a newer version of Excel. Learn more: https://go.microsoft.com/fwlink/?linkid=870924
Comment:
	Deverbal compounds are multi-word expressions—usually noun-noun compounds—where the head word is derived from a verb.
</t>
      </text>
    </comment>
    <comment authorId="39" xr:uid="{7e3a6d9d-e33d-4023-88bb-29d2d545dd60}" ref="T5">
      <text>
        <t xml:space="preserve">[Threaded comment]
 Your version of Excel allows you to read this threaded comment; however, any edits to it will get removed if the file is opened in a newer version of Excel. Learn more: https://go.microsoft.com/fwlink/?linkid=870924
Comment:
	qui ho sottolineato in rosso la parte che forse toglierei perché ci interessano i criteri però poi questi valori sono su tutti i rating (non so forse ci dicono poco sulla familiarità).
</t>
      </text>
    </comment>
    <comment authorId="40" xr:uid="{7f7d63cb-bc43-47eb-b743-1f7195a3f734}" ref="O45">
      <text>
        <t xml:space="preserve">[Threaded comment]
 Your version of Excel allows you to read this threaded comment; however, any edits to it will get removed if the file is opened in a newer version of Excel. Learn more: https://go.microsoft.com/fwlink/?linkid=870924
Comment:
	the highest value corresponds to being words that are completely familiar.
</t>
      </text>
    </comment>
    <comment authorId="41" xr:uid="{80f8e17a-aac7-4d08-b762-01ac223e609d}" ref="X3">
      <text>
        <t xml:space="preserve">[Threaded comment]
 Your version of Excel allows you to read this threaded comment; however, any edits to it will get removed if the file is opened in a newer version of Excel. Learn more: https://go.microsoft.com/fwlink/?linkid=870924
Comment:
	dice che confronta anche queste correlazioni con quelle trovate in Yao su un subset di parole, ma il fatto è che non mette le correlazioni, dice solo che "the highly statistically significant relationships between variables found in the current study (p’s &lt; 0.01) were all found in Yao et al. [38]" quindi non mi è chiaro se le ha confrontate direttamente o no
Reply:
	Non mi pare abbiano fatto corr con Yao. Mi pare che abbiano verificato che le loro correlazioni tra misure fossero presenti anche lì
</t>
      </text>
    </comment>
    <comment authorId="42" xr:uid="{8204b3bf-19ea-4878-b7b2-6abb5616abef}" ref="I44">
      <text>
        <t xml:space="preserve">[Threaded comment]
 Your version of Excel allows you to read this threaded comment; however, any edits to it will get removed if the file is opened in a newer version of Excel. Learn more: https://go.microsoft.com/fwlink/?linkid=870924
Comment:
	10515?
</t>
      </text>
    </comment>
    <comment authorId="43" xr:uid="{8a9e1179-46ed-4b89-8a17-4d60199344f0}" ref="V32">
      <text>
        <t xml:space="preserve">[Threaded comment]
 Your version of Excel allows you to read this threaded comment; however, any edits to it will get removed if the file is opened in a newer version of Excel. Learn more: https://go.microsoft.com/fwlink/?linkid=870924
Comment:
	2 intrastudy reliabilities
1) within-words stimulus reliability: split-half correlations of mean rating values --&gt; corrected Pearson correlations + Cronbach's alpha
2) participants' response consistency: test-retest on repeated words
Reply:
	solo se vogliamo essere piu precisi sennò va bene cosi com'è
Reply:
	mi sembra più chiaro come sta. Ho aggiunto però i numeri dei vari metodi così da riportarli anche nella colonna dei valori sull'affidabilità ;)
</t>
      </text>
    </comment>
    <comment authorId="44" xr:uid="{91d8dbe0-4228-4bf0-9ea9-3e7e202acfb4}" ref="T47">
      <text>
        <t xml:space="preserve">[Threaded comment]
 Your version of Excel allows you to read this threaded comment; however, any edits to it will get removed if the file is opened in a newer version of Excel. Learn more: https://go.microsoft.com/fwlink/?linkid=870924
Comment:
	Qua come è stato fatto per gli altri paper metterei: Subjects: excluded participants whose native language was not European Portuguese or whose nationality was not Portuguese (n = 124); participants who did not answer more than 33% of the items (n=96) or who showed nondiscriminative/random response patterns were excluded (n=88). From initial sample of 2,665 to normative sample of 2,357 participants.  Ratings: Ratings from participants who indicated they did not know a word were excluded. Any ratings 2.5 SDs below or above the mean of each item were eliminated as outliers.
Reply:
	In colonna #ss ho messo il numero di ss pulito (2357) perché è proprio uno dei criteri di selezione degli articoli è che i rating dovevano essere dati da madrelingua. Quindi quel passaggio ho evitato di includerlo.
</t>
      </text>
    </comment>
    <comment authorId="45" xr:uid="{9317036c-8465-4b41-a9d1-f930135f8925}" ref="P16">
      <text>
        <t xml:space="preserve">[Threaded comment]
 Your version of Excel allows you to read this threaded comment; however, any edits to it will get removed if the file is opened in a newer version of Excel. Learn more: https://go.microsoft.com/fwlink/?linkid=870924
Comment:
	ratings on paper
</t>
      </text>
    </comment>
    <comment authorId="46" xr:uid="{a05919bf-8f67-4067-a838-0e8672ae0fb6}" ref="J35">
      <text>
        <t xml:space="preserve">[Threaded comment]
 Your version of Excel allows you to read this threaded comment; however, any edits to it will get removed if the file is opened in a newer version of Excel. Learn more: https://go.microsoft.com/fwlink/?linkid=870924
Comment:
	ha le traduzioni inglesi degli stimoli
</t>
      </text>
    </comment>
    <comment authorId="47" xr:uid="{a0fa275c-f841-4c26-b6b6-52791da9e15a}" ref="S53">
      <text>
        <t xml:space="preserve">[Threaded comment]
 Your version of Excel allows you to read this threaded comment; however, any edits to it will get removed if the file is opened in a newer version of Excel. Learn more: https://go.microsoft.com/fwlink/?linkid=870924
Comment:
	io forse direi un mix tra Fam e sFreq
Reply:
	fatto
</t>
      </text>
    </comment>
    <comment authorId="48" xr:uid="{a4e11b14-d02b-42a1-96c9-572b56556935}" ref="P14">
      <text>
        <t xml:space="preserve">[Threaded comment]
 Your version of Excel allows you to read this threaded comment; however, any edits to it will get removed if the file is opened in a newer version of Excel. Learn more: https://go.microsoft.com/fwlink/?linkid=870924
Comment:
	The questionnaire was administered using the
traditional pen-and-paper method during regular classes. No
specific time limit was set.
</t>
      </text>
    </comment>
    <comment authorId="49" xr:uid="{a54d3423-2d21-4e62-9024-2644c6c1e6a3}" ref="Z13">
      <text>
        <t xml:space="preserve">[Threaded comment]
 Your version of Excel allows you to read this threaded comment; however, any edits to it will get removed if the file is opened in a newer version of Excel. Learn more: https://go.microsoft.com/fwlink/?linkid=870924
Comment:
	Sent email to the authors to provide link to the data (if available as they write in the paper)
Ho chiesto + dettagli ma questo è quello che mi ha detto l'autrice: when we wrote that paper, the Croatian lexical database had 1,211 words that were evaluated based on four psycholinguistic features - imageabiity, frequency, type and length of words, and only later we expanded the database to 3,000 words and to 7 features - we added familiarity, age of acquisition and concreteness to the existing features. Unfortunately, we did not analyze the database later, because the main purpose of creating the database was that doctoral students, researchers and professionals have a source of data for designing experiments or some professional activities when they need information about the features of words for the preparation of test material.
</t>
      </text>
    </comment>
    <comment authorId="50" xr:uid="{a639f36a-4e3b-4f5b-88c5-0a36b3a4ead2}" ref="W26">
      <text>
        <t xml:space="preserve">[Threaded comment]
 Your version of Excel allows you to read this threaded comment; however, any edits to it will get removed if the file is opened in a newer version of Excel. Learn more: https://go.microsoft.com/fwlink/?linkid=870924
Comment:
	aggiungere anche correlazione tra Finnish-American english (non significativa): with personal use, r = .25; correlation with familiarity, r = .24.
Reply:
	fatto, thanks!
</t>
      </text>
    </comment>
    <comment authorId="51" xr:uid="{a944e4cd-f2f1-439f-8708-139c2decb7f0}" ref="I30">
      <text>
        <t xml:space="preserve">[Threaded comment]
 Your version of Excel allows you to read this threaded comment; however, any edits to it will get removed if the file is opened in a newer version of Excel. Learn more: https://go.microsoft.com/fwlink/?linkid=870924
Comment:
	1238
</t>
      </text>
    </comment>
    <comment authorId="52" xr:uid="{b08fdf5f-52d2-4738-a29c-9df0dc77555b}" ref="M3">
      <text>
        <t xml:space="preserve">[Threaded comment]
 Your version of Excel allows you to read this threaded comment; however, any edits to it will get removed if the file is opened in a newer version of Excel. Learn more: https://go.microsoft.com/fwlink/?linkid=870924
Comment:
	Checked
</t>
      </text>
    </comment>
    <comment authorId="53" xr:uid="{b31b4d1b-99a1-40ac-bf0e-cf6f36d96701}" ref="S6">
      <text>
        <t xml:space="preserve">[Threaded comment]
 Your version of Excel allows you to read this threaded comment; however, any edits to it will get removed if the file is opened in a newer version of Excel. Learn more: https://go.microsoft.com/fwlink/?linkid=870924
Comment:
	it is more subfreq (anke se chiamata familiarità):
</t>
      </text>
    </comment>
    <comment authorId="54" xr:uid="{b49098c3-ba47-4c4d-a099-53f6a3304621}" ref="AA21">
      <text>
        <t xml:space="preserve">[Threaded comment]
 Your version of Excel allows you to read this threaded comment; however, any edits to it will get removed if the file is opened in a newer version of Excel. Learn more: https://go.microsoft.com/fwlink/?linkid=870924
Comment:
	Do I have to write an email to the authors if we can share the database in our folder?
</t>
      </text>
    </comment>
    <comment authorId="55" xr:uid="{b52c3e44-cbd9-489c-a24a-18e6fcadde28}" ref="A9">
      <text>
        <t xml:space="preserve">[Threaded comment]
 Your version of Excel allows you to read this threaded comment; however, any edits to it will get removed if the file is opened in a newer version of Excel. Learn more: https://go.microsoft.com/fwlink/?linkid=870924
Comment:
	problematico solo x capire se si riesce a derivare il numero di ss x stimolo
Reply:
	fatto
</t>
      </text>
    </comment>
    <comment authorId="56" xr:uid="{b726f794-4865-43e6-a70d-45ce36dbd7b9}" ref="R32">
      <text>
        <t xml:space="preserve">[Threaded comment]
 Your version of Excel allows you to read this threaded comment; however, any edits to it will get removed if the file is opened in a newer version of Excel. Learn more: https://go.microsoft.com/fwlink/?linkid=870924
Comment:
	loro scrivono "The first objective (Study 1) is to provide French Canadian norms for conceptual familiarity for..." quindi qui io metterei Fam
Reply:
	fatto
</t>
      </text>
    </comment>
    <comment authorId="57" xr:uid="{bf288940-f304-400c-bc49-7d48d7e622ce}" ref="J56">
      <text>
        <t xml:space="preserve">[Threaded comment]
 Your version of Excel allows you to read this threaded comment; however, any edits to it will get removed if the file is opened in a newer version of Excel. Learn more: https://go.microsoft.com/fwlink/?linkid=870924
Comment:
	0.36 % of other categories (i.e., adverbs and interjections).
</t>
      </text>
    </comment>
    <comment authorId="58" xr:uid="{c3f32626-56a2-4dd1-b8be-f12278352bdc}" ref="W39">
      <text>
        <t xml:space="preserve">[Threaded comment]
 Your version of Excel allows you to read this threaded comment; however, any edits to it will get removed if the file is opened in a newer version of Excel. Learn more: https://go.microsoft.com/fwlink/?linkid=870924
Comment:
	Penso che qua ci sia un errore nel paper: la corr tra FAM e MoA nel testo è indicata come -0.68 ma nella tabella sotto è -0.62 e calcolandola dai dati è -0.615 quindi -0.62. Quindi penso che vada modificata la corr tra fam e MoA in -0.62. Inoltre non capisco da dove abbiate preso gli altri valori perchè nel testo non l'ho trovati e ricalcolandoli non vengono uguali
Reply:
	0.68 è la correlazione con il database in inglese sulle parole comuni
(MRC). Sistemo questa sezione
Reply:
	stavo anche controllando se l'avevo calcolata dal database che è probabile, ma poi ho pensato che comunque andrebbe cancellata xké non è stata riportata dai ricercatori ;)
</t>
      </text>
    </comment>
    <comment authorId="59" xr:uid="{c5359fce-0654-4051-85cf-f05e8ddceb45}" ref="S32">
      <text>
        <t xml:space="preserve">[Threaded comment]
 Your version of Excel allows you to read this threaded comment; however, any edits to it will get removed if the file is opened in a newer version of Excel. Learn more: https://go.microsoft.com/fwlink/?linkid=870924
Comment:
	"To what extent do you feel familiar with the concept of DOG?" quindi Fam qui dovrebbe essere ok
</t>
      </text>
    </comment>
    <comment authorId="60" xr:uid="{c7332bdf-32df-4f6b-8002-31167f5aad79}" ref="M51">
      <text>
        <t xml:space="preserve">[Threaded comment]
 Your version of Excel allows you to read this threaded comment; however, any edits to it will get removed if the file is opened in a newer version of Excel. Learn more: https://go.microsoft.com/fwlink/?linkid=870924
Comment:
	The other version of the questionnaire was completed by 200 participants (161 females and 39 males, with a mean age of 22.2 years, SD = 5.3), who gave ratings of concreteness and familiarity for the same words. Each version of the questionnaire was divided into eight answer sheets, which contained 47 words on average. Participants were randomly assigned to one of the eight answer sheets.
</t>
      </text>
    </comment>
    <comment authorId="61" xr:uid="{c8d56cd1-69c8-45f7-8a1a-100a9adf70ba}" ref="AD20">
      <text>
        <t xml:space="preserve">[Threaded comment]
 Your version of Excel allows you to read this threaded comment; however, any edits to it will get removed if the file is opened in a newer version of Excel. Learn more: https://go.microsoft.com/fwlink/?linkid=870924
Comment:
	fatto
</t>
      </text>
    </comment>
    <comment authorId="62" xr:uid="{cee79eee-5dbc-4493-89bb-fc4c1b4cf216}" ref="AC24">
      <text>
        <t xml:space="preserve">[Threaded comment]
 Your version of Excel allows you to read this threaded comment; however, any edits to it will get removed if the file is opened in a newer version of Excel. Learn more: https://go.microsoft.com/fwlink/?linkid=870924
Comment:
	dave retired but mike cortese has not
Reply:
	mcortese@unomaha.edu
Reply:
	Dave sent me the file, but we still need to check whether we’re allowed to upload it to OSF or to the ManyNorms folder, and then add the link to this table. We should think about the best option. I’ll come back to these studies once I finish this round of the review. I’ll leave this as the final task 😉
</t>
      </text>
    </comment>
    <comment authorId="63" xr:uid="{d1545f58-3a1e-4a4b-a313-9fdf7fc359d3}" ref="K3">
      <text>
        <t xml:space="preserve">[Threaded comment]
 Your version of Excel allows you to read this threaded comment; however, any edits to it will get removed if the file is opened in a newer version of Excel. Learn more: https://go.microsoft.com/fwlink/?linkid=870924
Comment:
	143 (after cleaning)
</t>
      </text>
    </comment>
    <comment authorId="64" xr:uid="{d5ebc937-0eaa-4cbd-b903-001bd046f68a}" ref="M32">
      <text>
        <t xml:space="preserve">[Threaded comment]
 Your version of Excel allows you to read this threaded comment; however, any edits to it will get removed if the file is opened in a newer version of Excel. Learn more: https://go.microsoft.com/fwlink/?linkid=870924
Comment:
	questi sono i dati per each session (che contiene 155 words)
però non essendo ripetute le parole nelle 24 sessioni alla fine penso sia ok dire cosi
Reply:
	ok
</t>
      </text>
    </comment>
    <comment authorId="65" xr:uid="{d69c0fc1-101f-4c1d-a25a-c3cb715f3d62}" ref="M47">
      <text>
        <t xml:space="preserve">[Threaded comment]
 Your version of Excel allows you to read this threaded comment; however, any edits to it will get removed if the file is opened in a newer version of Excel. Learn more: https://go.microsoft.com/fwlink/?linkid=870924
Comment:
	però facendo 215351 (che sono i valid ratings per sFreq) / 3800 che è il numero di parola viene 56.7
Reply:
	Metto allora come fatto per il paper sotto: 
42 to 77
(mean= 56.7)
</t>
      </text>
    </comment>
    <comment authorId="66" xr:uid="{db499119-afb6-4523-86b9-ed0d43ebd39e}" ref="K26">
      <text>
        <t xml:space="preserve">[Threaded comment]
 Your version of Excel allows you to read this threaded comment; however, any edits to it will get removed if the file is opened in a newer version of Excel. Learn more: https://go.microsoft.com/fwlink/?linkid=870924
Comment:
	può avere senso dividere tra Finnish speakers (304) e English speakers (135)?
Reply:
	fatto
</t>
      </text>
    </comment>
    <comment authorId="67" xr:uid="{ddb036da-1a34-4903-a66d-ce7a1531cc54}" ref="M34">
      <text>
        <t xml:space="preserve">[Threaded comment]
 Your version of Excel allows you to read this threaded comment; however, any edits to it will get removed if the file is opened in a newer version of Excel. Learn more: https://go.microsoft.com/fwlink/?linkid=870924
Comment:
	dice Each of the three lists was rated by 20 new participants e poiché le parole erano divise in 3 liste suppongo che 20 ss hanno valutato ogni parola. MA NON C'è NESSUNA INFO SE HANNO TOLTO QUALCHE SOGGETTO O COME HANNO PULITO I RATING IN QUALKE MODO
</t>
      </text>
    </comment>
    <comment authorId="68" xr:uid="{e01808cd-86d0-4505-ad32-23f300faa80b}" ref="A1">
      <text>
        <t xml:space="preserve">[Threaded comment]
 Your version of Excel allows you to read this threaded comment; however, any edits to it will get removed if the file is opened in a newer version of Excel. Learn more: https://go.microsoft.com/fwlink/?linkid=870924
Comment:
	da eliminare. The paper does not specify the number of participants for the familiarity ratings, which were taken from an existing database (LEXESP).
</t>
      </text>
    </comment>
    <comment authorId="69" xr:uid="{e34706a1-e86f-4f01-92ff-f522a35eb2f9}" ref="P8">
      <text>
        <t xml:space="preserve">[Threaded comment]
 Your version of Excel allows you to read this threaded comment; however, any edits to it will get removed if the file is opened in a newer version of Excel. Learn more: https://go.microsoft.com/fwlink/?linkid=870924
Comment:
	1 = never, 2 = once a year, 3 = once a month, 4 = once a week, 5 = once every two days, 6 = once a day, 7 = several times a day
</t>
      </text>
    </comment>
    <comment authorId="70" xr:uid="{e560284f-6e07-4d41-b5f8-b4ec635e74b1}" ref="W24">
      <text>
        <t xml:space="preserve">[Threaded comment]
 Your version of Excel allows you to read this threaded comment; however, any edits to it will get removed if the file is opened in a newer version of Excel. Learn more: https://go.microsoft.com/fwlink/?linkid=870924
Comment:
	should we have to include the multiple regression results?
Reply:
	nope
</t>
      </text>
    </comment>
    <comment authorId="71" xr:uid="{e5a69548-cb37-4c44-8b03-8a9b75b35cae}" ref="M16">
      <text>
        <t xml:space="preserve">[Threaded comment]
 Your version of Excel allows you to read this threaded comment; however, any edits to it will get removed if the file is opened in a newer version of Excel. Learn more: https://go.microsoft.com/fwlink/?linkid=870924
Comment:
	vedi p 1109
Reply:
	erano fatti fare a 20 ss (però su alcuni concetti ci sn valori mancanti, ci sn i dati grezzi) quindi in sostanza nn sn 20
</t>
      </text>
    </comment>
    <comment authorId="72" xr:uid="{e5cd6d00-77d7-4d78-b0b6-4a52552a870b}" ref="M4">
      <text>
        <t xml:space="preserve">[Threaded comment]
 Your version of Excel allows you to read this threaded comment; however, any edits to it will get removed if the file is opened in a newer version of Excel. Learn more: https://go.microsoft.com/fwlink/?linkid=870924
Comment:
	Checked
</t>
      </text>
    </comment>
    <comment authorId="73" xr:uid="{e616a7eb-9b06-45a0-b292-1142d2539529}" ref="G32">
      <text>
        <t xml:space="preserve">[Threaded comment]
 Your version of Excel allows you to read this threaded comment; however, any edits to it will get removed if the file is opened in a newer version of Excel. Learn more: https://go.microsoft.com/fwlink/?linkid=870924
Comment:
	non so se rilevante ma loro specificano French Canadian
Reply:
	ok
</t>
      </text>
    </comment>
    <comment authorId="74" xr:uid="{e6753089-1687-4130-a53f-f29795eb49b1}" ref="H35">
      <text>
        <t xml:space="preserve">[Threaded comment]
 Your version of Excel allows you to read this threaded comment; however, any edits to it will get removed if the file is opened in a newer version of Excel. Learn more: https://go.microsoft.com/fwlink/?linkid=870924
Comment:
	Non so se è il caso di scrivere affective.... "1,490 Indonesian words, of which 637 words were translations of English words in ANEW"
</t>
      </text>
    </comment>
    <comment authorId="75" xr:uid="{e90f1e93-0eba-4a16-837d-0a6efe653b33}" ref="M6">
      <text>
        <t xml:space="preserve">[Threaded comment]
 Your version of Excel allows you to read this threaded comment; however, any edits to it will get removed if the file is opened in a newer version of Excel. Learn more: https://go.microsoft.com/fwlink/?linkid=870924
Comment:
	prima c'era 42, ma nel paper è scritto: In the final data set, 99.98% of the 2,061 words were rated by at
least 20 older adults and 20 younger adults for each dimension.
</t>
      </text>
    </comment>
    <comment authorId="76" xr:uid="{ea600e21-158b-4449-b630-d0dbf07fa4ab}" ref="AA32">
      <text>
        <t xml:space="preserve">[Threaded comment]
 Your version of Excel allows you to read this threaded comment; however, any edits to it will get removed if the file is opened in a newer version of Excel. Learn more: https://go.microsoft.com/fwlink/?linkid=870924
Comment:
	link qui è giusto ma nel paper (nell'abstract) è riportato un altro nome che comunque rimanda alla stessa pagina di questo
Reply:
	si lo so, per molti paper ho contattato gli autori x farmi dare il link aggiornato
</t>
      </text>
    </comment>
    <comment authorId="77" xr:uid="{f312df3d-f8ec-4a0c-8417-6e0447e837f6}" ref="AA8">
      <text>
        <t xml:space="preserve">[Threaded comment]
 Your version of Excel allows you to read this threaded comment; however, any edits to it will get removed if the file is opened in a newer version of Excel. Learn more: https://go.microsoft.com/fwlink/?linkid=870924
Comment:
	a me nn si collega xké dice sito nn sicuro
</t>
      </text>
    </comment>
    <comment authorId="78" xr:uid="{f42e6bd9-a8d5-4388-98bc-0e95b32356bc}" ref="Z15">
      <text>
        <t xml:space="preserve">[Threaded comment]
 Your version of Excel allows you to read this threaded comment; however, any edits to it will get removed if the file is opened in a newer version of Excel. Learn more: https://go.microsoft.com/fwlink/?linkid=870924
Comment:
	i raw data stanno nello stesso link del database, ci sono i ratings per tutti i ss
1 reazione in totale
Maria Montefinese ha aggiunto la reazione 👍 (2026-02-23 13:33 PM)
</t>
      </text>
    </comment>
    <comment authorId="79" xr:uid="{f8bdb3d4-7400-4bc7-888b-f14e77591d1c}" ref="P5">
      <text>
        <t xml:space="preserve">[Threaded comment]
 Your version of Excel allows you to read this threaded comment; however, any edits to it will get removed if the file is opened in a newer version of Excel. Learn more: https://go.microsoft.com/fwlink/?linkid=870924
Comment:
	questo è tutto nelle istruzioni sulla familiarità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tc={3e00eda6-b5c8-47ff-917c-a71aaf7a2f27}</author>
    <author>tc={588dfd0b-2f80-4ff8-a332-c16adb598651}</author>
    <author>tc={84150443-58b3-47d5-af49-08cbf7f503d3}</author>
    <author>tc={ac875888-917c-4d4b-984f-d7733cc6aafb}</author>
  </authors>
  <commentList>
    <comment authorId="0" xr:uid="{3e00eda6-b5c8-47ff-917c-a71aaf7a2f27}" ref="AA30">
      <text>
        <t xml:space="preserve">[Threaded comment]
 Your version of Excel allows you to read this threaded comment; however, any edits to it will get removed if the file is opened in a newer version of Excel. Learn more: https://go.microsoft.com/fwlink/?linkid=870924
Comment:
	fatto
</t>
      </text>
    </comment>
    <comment authorId="1" xr:uid="{588dfd0b-2f80-4ff8-a332-c16adb598651}" ref="M8">
      <text>
        <t xml:space="preserve">[Threaded comment]
 Your version of Excel allows you to read this threaded comment; however, any edits to it will get removed if the file is opened in a newer version of Excel. Learn more: https://go.microsoft.com/fwlink/?linkid=870924
Comment:
	1 = never, 2 = once a year, 3 = once a month, 4 = once a week, 5 = once every two days, 6 = once a day, 7 = several times a day
</t>
      </text>
    </comment>
    <comment authorId="2" xr:uid="{84150443-58b3-47d5-af49-08cbf7f503d3}" ref="AA39">
      <text>
        <t xml:space="preserve">[Threaded comment]
 Your version of Excel allows you to read this threaded comment; however, any edits to it will get removed if the file is opened in a newer version of Excel. Learn more: https://go.microsoft.com/fwlink/?linkid=870924
Comment:
	fatto
</t>
      </text>
    </comment>
    <comment authorId="3" xr:uid="{ac875888-917c-4d4b-984f-d7733cc6aafb}" ref="S61">
      <text>
        <t xml:space="preserve">[Threaded comment]
 Your version of Excel allows you to read this threaded comment; however, any edits to it will get removed if the file is opened in a newer version of Excel. Learn more: https://go.microsoft.com/fwlink/?linkid=870924
Comment:
	the authors call this comparison intergroup reliability but in other cases I considered this more a sort of construct validity
</t>
      </text>
    </comment>
  </commentList>
</comments>
</file>

<file path=xl/sharedStrings.xml><?xml version="1.0" encoding="utf-8"?>
<sst xmlns="http://schemas.openxmlformats.org/spreadsheetml/2006/main" count="2754" uniqueCount="940">
  <si>
    <t>#</t>
  </si>
  <si>
    <t>Year/Author/Journal</t>
  </si>
  <si>
    <t>Column 29</t>
  </si>
  <si>
    <t>Column 30</t>
  </si>
  <si>
    <t>Column 31</t>
  </si>
  <si>
    <t>DOI</t>
  </si>
  <si>
    <t>Language</t>
  </si>
  <si>
    <t>Stimuli</t>
  </si>
  <si>
    <t># Stim</t>
  </si>
  <si>
    <t>Stim notes</t>
  </si>
  <si>
    <t># SS</t>
  </si>
  <si>
    <t>SS notes</t>
  </si>
  <si>
    <t>SS/Stim</t>
  </si>
  <si>
    <t>Granularity</t>
  </si>
  <si>
    <t>Anchors</t>
  </si>
  <si>
    <t>Additional Instructions Info</t>
  </si>
  <si>
    <t>Instructions derived from</t>
  </si>
  <si>
    <t>Measure declared by the authors</t>
  </si>
  <si>
    <t>Measure interpreted by us</t>
  </si>
  <si>
    <t>Data cleaning</t>
  </si>
  <si>
    <t>Reliability</t>
  </si>
  <si>
    <t>Rel Meth</t>
  </si>
  <si>
    <t>Validity</t>
  </si>
  <si>
    <t>Val Meth</t>
  </si>
  <si>
    <t>Other Meas</t>
  </si>
  <si>
    <t>RawData link</t>
  </si>
  <si>
    <t>Database link</t>
  </si>
  <si>
    <t>NOTE</t>
  </si>
  <si>
    <t>COMMUNICATIONS WITH AUTHORS</t>
  </si>
  <si>
    <t>Check</t>
  </si>
  <si>
    <t>erin</t>
  </si>
  <si>
    <t>2017_Yee_PLoSONE</t>
  </si>
  <si>
    <t>10.1371/journal.pone.0174569</t>
  </si>
  <si>
    <t>Chinese</t>
  </si>
  <si>
    <t>Affective nouns</t>
  </si>
  <si>
    <t>Derived from Cai Q, Brysbaert M. SUBTLEX-CH and  contains Chinese single characters and multi-character words along with frequency information. Word selection was restricted to the low to medium frequency range</t>
  </si>
  <si>
    <t>Students</t>
  </si>
  <si>
    <t>32 (164 ss/5 lists of words)</t>
  </si>
  <si>
    <t>5-point</t>
  </si>
  <si>
    <t xml:space="preserve">1 being unfamiliar, 5 being familiar  </t>
  </si>
  <si>
    <t>NI</t>
  </si>
  <si>
    <t>1) Noble CE. The meaning-familiarity relationship. Psychol Rev. 1953;60(2):89. pmid:13056100; 2) Stadthagen-Gonzalez H, Davis CJ. The Bristol norms for age of acquisition, imageability, and familiarity. Behav Res Methods. 2006;38(4):598–605. pmid:17393830, 3) Gilhooly KJ, Logie RH. Age-of-acquisition, imagery, concreteness, familiarity, and ambiguity measures for 1,944 words. Behav Res Methods Instrum. 1980 Jul;12(4):395–427.</t>
  </si>
  <si>
    <t>Fam</t>
  </si>
  <si>
    <t>sFreq</t>
  </si>
  <si>
    <t xml:space="preserve">Six participants were found to have made more than 15% of their responses in less than 300ms. Participants who reported an aberrantly large number of words that they did not know were excluded too. Responses that were outside the range of ± 2.5 S.D. were removed from further analysis. In the last step, internal reliability was calculated for each subject, using the five words that were rated twice within participants.  Participants with consistency that was lower than 0.2, as indicated by the Pearson correlation coefficient, were removed  </t>
  </si>
  <si>
    <t>1) 0.82; 2) 10%</t>
  </si>
  <si>
    <t xml:space="preserve">1)  inter-rater reliability (intra-class correlation coefficient); 2) the coefficient of variation (CV) </t>
  </si>
  <si>
    <t>r=.34 concreteness, r=.41 imageability, r=.16 word freq</t>
  </si>
  <si>
    <t>Pearson correlations w/other variables</t>
  </si>
  <si>
    <t>valence, arousal, number of strokes, word frequency, concreteness, imageability</t>
  </si>
  <si>
    <t>NA</t>
  </si>
  <si>
    <t>https://doi.org/10.1371/journal.pone.0174569.s001</t>
  </si>
  <si>
    <t>EA: ok</t>
  </si>
  <si>
    <t>2020_Wang_FrontPsychol</t>
  </si>
  <si>
    <t>10.3389/fpsyg.2020.554785</t>
  </si>
  <si>
    <t>Words</t>
  </si>
  <si>
    <t>words were taken from English textbooks used in the third-year primary school to third-year senior school classes in China</t>
  </si>
  <si>
    <t>18 (each participant rated all the stimuli)</t>
  </si>
  <si>
    <t>7-point</t>
  </si>
  <si>
    <t>Because of the lower correlation with the average value (beyond the average correlation plus or minus three standard deviations), 2, 2, and 3 participants were eliminated</t>
  </si>
  <si>
    <t>.89 and .86</t>
  </si>
  <si>
    <t>1) split-half reliability; 2) wo-way random ICC</t>
  </si>
  <si>
    <t>r= .26 word freq, r= .11 concreteness, r=-.16 number of stroke ; 2) r=.46</t>
  </si>
  <si>
    <t>1) correlation w/other measures; 2) correlation with their English translation</t>
  </si>
  <si>
    <t>Word frequency, concreteness, AoA, number of strokes</t>
  </si>
  <si>
    <t>https://www.frontiersin.org/articles/10.3389/fpsyg.2020.554785/full#supplementary-material</t>
  </si>
  <si>
    <t>2016_Yao_BRM</t>
  </si>
  <si>
    <t>10.3758/s13428-016-0793-2</t>
  </si>
  <si>
    <t>Affective words</t>
  </si>
  <si>
    <t xml:space="preserve">399 two-character words were selected from CAWS (Wang et al., 2008) and 708 two-character words from the Modern Chinese Dictionary of Commonly Used Words. </t>
  </si>
  <si>
    <t>9-point</t>
  </si>
  <si>
    <t>1= unfamiliar, 9=familiar</t>
  </si>
  <si>
    <t xml:space="preserve"> Familiarity is rated according to the level of familiarity when you read each word.</t>
  </si>
  <si>
    <r>
      <t>Della Rosa, P. A., Catricalà, E., Vigliocco, G., &amp; Cappa, S. F. (2010). Beyond the abstract–concrete dichotomy: Mode of acquisition, concreteness, imageability, familiarity, age of acquisition, context availability, and abstractness norms for a set of 417 Italian words. Behavior Research Methods, 42, 1042–1048. doi:</t>
    </r>
    <r>
      <rPr>
        <rFont val="&quot;Merriweather Sans&quot;, &quot;Helvetica Neue&quot;, Helvetica, Arial, sans-serif"/>
        <color rgb="FF1155CC"/>
        <sz val="12.0"/>
        <u/>
      </rPr>
      <t>10.3758/BRM.42.4.1042</t>
    </r>
  </si>
  <si>
    <t xml:space="preserve">To exclude: participants who used the same response for more than 85 % of the total responses for each list. Twenty-one participants (13 in one list version, eight in the other list version, 2.4 % of the total) were excluded because of responses that formed a pattern with almost no variation. The second took into account participants’ scores that were ±2.5 standard deviations away from their group’s average for each item. </t>
  </si>
  <si>
    <t>1) r = .87 (ranging from r = .76 to .93)</t>
  </si>
  <si>
    <t>1) split-half correlations, corrected with the Spearman–Brown formula</t>
  </si>
  <si>
    <t>1 r=-.31, RTs; 2) r= .54, concreteness; r=.34 imageability, r=.46 context availability, 3) partial r = .06, p = .03, valence; not significant with arousal 
only one partial correlation was significant—that with the fa-
miliarity ratings (r = .06, p = .03).</t>
  </si>
  <si>
    <t>1) correlation w/RTs in lexical decision (word/no word); 2) correlation w/other semantic variables; 3) partial correlation between valence and familiarity</t>
  </si>
  <si>
    <t>concreteness, imagebility, context availability, valence, arousal</t>
  </si>
  <si>
    <t>https://static-content.springer.com/esm/art%3A10.3758%2Fs13428-016-0793-2/MediaObjects/13428_2016_793_MOESM2_ESM.pdf</t>
  </si>
  <si>
    <t>Engl translations</t>
  </si>
  <si>
    <t>checked - no need further check</t>
  </si>
  <si>
    <t>2021_Liu_FrontPsychol</t>
  </si>
  <si>
    <t>10.3389/fpsyg.2021.585666</t>
  </si>
  <si>
    <t>Aff. words (4 ch.)</t>
  </si>
  <si>
    <t>four-character words were selected from the Chinese Lexicon (2003) and frequently used.</t>
  </si>
  <si>
    <t>124 (46 olders, 78 yougers)</t>
  </si>
  <si>
    <t>Olders, students</t>
  </si>
  <si>
    <t>20 youngers + 20 olders</t>
  </si>
  <si>
    <t>1= unfamiliar, 2=very unfamiliar, 3=moderately unfamiliar, 4=slightly unfamiliar, 5=undecided, 6=slightly familiar, 7= moderately familiar, 8= very familiar, 9=totally familiar</t>
  </si>
  <si>
    <t xml:space="preserve"> judge the familiarity which involves rating how often the given word occurs in everyday language in either written or spoken form using a 9-point scale. At one extreme of the scale, you are completely familiar with this word in everyday language. Maybe you often hear the word on conversation, at the radio, at TV, or you may find it in a written form books, Internet, etc. When a word makes you feel totally familiar, you should indicate it by selecting 9. Conversely, a score of 1 indicates that you rarely find the word in everyday language. The other numbers on the scale also allow you to describe intermediate feelings of familiarity (2=very unfamiliar, 3=moderately unfamiliar, 4=slightly unfamiliar, 5=undecided, 6=slightly familiar, 7= moderately familiar, 8= very familiar). For example, the word 美味米饭 (/mei3wei4mi3fan4/, delicious rice) could be rated as occurring in everyday language very often, whereas the word 自贻伊戚 (/zi4yi2yi1qi1/, torture oneself) could be rated as never occurring in everyday language.</t>
  </si>
  <si>
    <t>1) Eilola, T. M., &amp; Havelka, J. (2010). Affective norms for 210 British English and Finnish nouns. Behavior Research Methods, 42(1), 134-140.; 2) Stadthagen-Gonzalez, H., &amp; Davis, C. J. (2006). The Bristol norms for age of acquisition, imageability, and familiarity. Behavior research methods, 38(4), 598-605. 3) YaoZ.WuJ.ZhangY.WangZ. (2017). Norms of valence, arousal, concreteness, familiarity, imageability, and context availability for 1,100 Chinese words. Behav. Res. Methods49, 1374–1385. 10.3758/s13428-016-0793-2</t>
  </si>
  <si>
    <t>Fam/sFreq</t>
  </si>
  <si>
    <t>Removed 214 words that were marked as Unknown by more than 10% of the participants according to previous studies. Discarded all ratings with which participants indicated that the word was unknown to them (3.3% of all). Second, discarded ratings of participants who gave the same rating for more than 85% of the words for each dimension (0.61%). Third, we excluded the ratings for 15 words due to typographical errors (0.069%). Removed the data points for those participants whose scores were 2.5 SDs away from their group's average ratings for each word (3.2% of all).</t>
  </si>
  <si>
    <t>1) r = 0.783, p &lt; 0.001 (.770-.792); older r= .624 (range .609-649); youngers r = .703 (range .689-.728)</t>
  </si>
  <si>
    <t>1) split-half corr (10 rand)</t>
  </si>
  <si>
    <t>1) r = 0.53, p &lt; 0.001; 2) with English: r older (710) = 0.15, p &lt; 0.001, ryounger (710) = 0.09, p = 0.014; Chinese: [rolder (48) = 0.32, p = 0.025, ryounger (48) = 0.54, p &lt; 0.001]; 3) all ss: valence (r = 0.23*), arousal (r = 0.054*), and dominance (r = 0.31*), valence: older - r= 0.11*, younger - r= .12*, arousal: older - r= .075*, younger - r= 0.61, dominance: older - r=.26*, younger=.23*</t>
  </si>
  <si>
    <t>construct validity: 1) correlation between age-groups and 2) correlation with English and Chinese; 3) concurrent validity: correlation with other measures in the database and correlation with other databases of familiarity</t>
  </si>
  <si>
    <t>valence, arousal, dominance</t>
  </si>
  <si>
    <t>https://www.fhttps://www.frontiersin.org/api/v4/articles/585666/file/Table_1.XLSX/585666_supplementary-materials_tables_1_xlsx/1rontiersin.org/api/v3/articles/585666/file/Data_Sheet_1.xlsx/585666_supplementary-materials_datasheets_1_xlsx/1</t>
  </si>
  <si>
    <t>2007_Liu_BRM</t>
  </si>
  <si>
    <t>10.3758/BF03193147</t>
  </si>
  <si>
    <t>Words (1 ch.)</t>
  </si>
  <si>
    <t>2,423 single-character words
were selected from the Language Corpus System of Modern Chinese
Studies (hereafter, LCSMCS; Sun, Huang, Sun, Li, &amp; Xing, 1997).  Only 2,390 of the 2,423 words entered our final statistical analyses, because 33 words had high error rates (above 50%).</t>
  </si>
  <si>
    <t>1: Very little known, 7: very well known</t>
  </si>
  <si>
    <t>In the following pages, you will find a list of words. Each word has an accompanying scale. The scalerangesfrom 1 to 7, as follows: very little known very well known 1 2 3 4 5 6 7 Your task is to rate how well you think each word is known by students like you. Rate each word by crossing the number that best indicates your judgment. Keep in mind that the “1” correspondsto verylittle known words, and the “7” to the words that you think are very well known by studentslike you. Use the intermediate numbers for intermediate degrees of knowledge. Feel free to use all the numbers on the scale. Rate each word only once. Remember to rate every word.</t>
  </si>
  <si>
    <t>Barca, L., Burani, C., &amp; Arduino, L. S. (2002). Word naming times and psycholinguistic norms for Italian nouns. Behavior Research Methods, Instruments, &amp; Computers, 34, 424-434.</t>
  </si>
  <si>
    <t>For the analyses of the word-naming data, incorrect responses and time-out data were removed (mean error rate for the 2,423 words was 7.9%). Data from 4 participants were also removed because of high error rates (20% or more) or long naming latencies (700 msec or longer). Only 2,390 of the 2,423 words entered our final statistical analyses, because 33 words had high error rates (above 50%).</t>
  </si>
  <si>
    <t>1) RT: r=-.508*, WordFreq: r= .528*, cumulative frequency: r=.473*, homophone density: r=-.121*, phonological frequency: r=.095*, number of components: r= -.146*, number of strokes: r=-.182*, number of word formations: r=.470*, age of learning: r=-.510*, AoA: r= -.675*, number of meaning: r=.180*, regularity: r=-.085*, concreteness: r= .470* ; 2) b=-.132, t =-7.519*, 3) Semantics factor accounting for the 18.46% of the total variance with high loadings for imageability, concreteness and familiarity</t>
  </si>
  <si>
    <t>1) Pearson correlation w/other measures, 2) Multiple Regression Analysis on word naming latencies; 3) Principal component analysis</t>
  </si>
  <si>
    <t>word frequency, cumulative frequency, homophone density, phonological frequency, age of learning, age of acquisition, number of word formations, number of meanings, number of components, number of strokes, concreteness, imageability, regularity, and initial phoneme</t>
  </si>
  <si>
    <t>https://blclab.org/pyscholinguistic-norms-database/</t>
  </si>
  <si>
    <t>MAIL SENT 11.08.2025 ASKING FOR INSTRUCTIONS AND LINK TO THE DATABASE</t>
  </si>
  <si>
    <t>2016_Chang_BRM</t>
  </si>
  <si>
    <t>10.3758/s13428-014-0559-7</t>
  </si>
  <si>
    <t>phonograms and nonhomographs, selected in the Academia Sinica Balanced Corpus (ASBC; Huang &amp; Chen, 1998)</t>
  </si>
  <si>
    <t>1 = never, 7=several times a day</t>
  </si>
  <si>
    <t>1) Balota, D. A., Pilotti, M., &amp; Cortese, M. J. (2001). Subjective frequency estimates for 2,938 monosyllabic words. Memory &amp; Cognition, 29, 639–647. doi:10.3758/BF03200465; 2) Liu, Y., Shu, H., &amp; Li, P. (2007). Word naming and psycholinguistic norms: Chinese. Behavior Research Methods, 39, 192–198. doi: 10.3758/BF03193147</t>
  </si>
  <si>
    <t>CharFreq: r= .838*, number of strokes: r= -.175*,  consistency: r=-.055*, regularity: r=-.140, unpronunceable: r=.027, phonetic compability: r=.016, semantic compatibility: r=.016, homophone density: r=-.133*, semantic ambiguity rating: r=.704*, number of disyllabic compound words: r=.747*, number of disyllabic compound words formed by a character in the second position of the
word: r= .793*, RT: r=-.669*</t>
  </si>
  <si>
    <t>1) correlation with the other variables in the database and the naming RTs</t>
  </si>
  <si>
    <t>character frequency, regularity, consistency, number of strokes, homophone density, semantic ambiguity rating, phonetic combinability, semantic combinability, and the number of disyllabic compound words formed by a character, character naming</t>
  </si>
  <si>
    <t>https://ball.ling.sinica.edu.tw/brain/namingdatabase/index.html</t>
  </si>
  <si>
    <t>MAIL SENT 11.08.2025 ASKING FOR INSTRUCTIONS AND LINK TO THE DATABASE, inviato link corretto</t>
  </si>
  <si>
    <t>2021_Song_SAGE Open</t>
  </si>
  <si>
    <t>10.1177/21582440211054495</t>
  </si>
  <si>
    <t>Words (2-ch.)</t>
  </si>
  <si>
    <t>most frequently used</t>
  </si>
  <si>
    <t>Familiarity: 1 = very low familiarity, 2 = quite low familiarity, 3 = low familiarity, 4 = moderate familiarity, 5 = high familiarity, 6 = quite high familiarity, 7 = very high familiarity; sFreq: 1=Never Used, 7= Very Frequently Used</t>
  </si>
  <si>
    <t>Famil: For each word, please decide the extent to which you are familiar with it by selecting one of the seven numbers next to it. The bigger the number, the more familiar it is to you. sFreq: For each word, please rate the extent to which it is frequently used in your daily life by selecting one of the seven numbers next to it. The bigger the number, the more frequently you think it is used in everyday life.</t>
  </si>
  <si>
    <t>Fam+sFrq</t>
  </si>
  <si>
    <t>Fam+sFreq</t>
  </si>
  <si>
    <t>1) fam: α= .970, sFreq: α= .971</t>
  </si>
  <si>
    <t>1) Cronbach's alpha</t>
  </si>
  <si>
    <t xml:space="preserve">1) Familiarity vs. sFreq: r=.432*, subtitle frequency: r= .353*, semantic transparency:  r=.209*, emotional experience rating: r= .161*, compositionality: r=.088*, concreteness: r=.065*, number of meanings: r=.036*, number of strokes: r= .012, imageability: r= .020, subjective number of meanings: r= .001, AoA: r=-.325, RTs: r=-.303; Subjective frequency vs. subtitle frequency: r= .519*, emotional rexprience rating: r=.389*, semantic transparency: r=.172*, sensory experience rating: r=.167*, number of meanings: r=.098*, subjective number of meanings: r=.064*, compositionality: r=.050*, concreteness: r=-.039*, number of strokes: -.27, imageability: .010, AoA: -.408*, RT: -.421*; 2) PCA: </t>
  </si>
  <si>
    <t>1) Pearson correlation; 2) Principal component analysis, 3) Multiple regression on the lexical decision times</t>
  </si>
  <si>
    <t>subtitle frequency, number of strokes, number of meanings, concreteness, imageability, age of acquisition, subjective number of meanings (sNOMs), compositionality, emotional experience rating, sensory experience rating (SER), and semantic transparency, lexical decision times (word/noword)</t>
  </si>
  <si>
    <t>https://journals.sagepub.com/doi/suppl/10.1177/21582440211054495/suppl_file/sj-xls-1-sgo-10.1177_21582440211054495.xls</t>
  </si>
  <si>
    <t>2023_Su_BRM</t>
  </si>
  <si>
    <t>10.3758/s13428-022-01928-y</t>
  </si>
  <si>
    <t>3327 Phonetic Compounds and 1049 non-phonetic compounds</t>
  </si>
  <si>
    <t>1=hardly familiar, 7=highly familiar</t>
  </si>
  <si>
    <t>you’ll have to rate the familiarity of each presented word. For example, if you consider the presented character looks highly familiar to you, select “7” in the scale. If you consider the presented character is hardly familiar to you, select “1” in the scale. The items from “1” and “7” represent the ascending level of familiarity. Please feel free to use any of the items provided.</t>
  </si>
  <si>
    <t>Individual outlying trials with ratings 2.5 SDs below or above the mean rated by all participants were excluded (2,48%).</t>
  </si>
  <si>
    <t>1) r= .95 (range: .906-.916); 2) .871 (range: .846–.901)</t>
  </si>
  <si>
    <t>1) split-half correlation (no info about the correction); 2) Intra-class correlation coefficient</t>
  </si>
  <si>
    <t>1) Table 9: AoA: r = -.849*, imageability: r=.493*, concreteness: r=.461*, semantic radical transparency: r=.069*, 2) Table 7: Chang et al., 2016: r= .805*, Liu et al., 2007: r= .534*, Wang et al., 2020: r=.616*; 3)dictation accuracy (of the current study) (Table 9): r= .764*, naming RT (Chang et al., 2016 and Hong Kong Chinese Character Psycholinguistic Norms (HKCCPN)): r= -.669* and -.546*, naming accuracy (Chang et al., 2016 and HKCCPN): r=.393* and .365*, Dictation acc (Wang et al., 2020 and HKCCPN): r=.560* and .627*, dictation RT (Wang et al., 2020 and HKCCPN): r=-.606* and -.657*.</t>
  </si>
  <si>
    <t>1) correlation w/other measures; 2) concurrent validity (w/other databases); 3) predictive validity (writing-to-dictation accuracy) of the current database on a subset of words and other tasks of other databases</t>
  </si>
  <si>
    <t>age-of-acquisition, imageability, concreteness, semantic radical transparency</t>
  </si>
  <si>
    <t>https://mst-cbs.polyu.edu.hk/Database/HK_norm_2021.xlsx</t>
  </si>
  <si>
    <t>10.3758/s13428-022-01878-5</t>
  </si>
  <si>
    <t>20,275 two-character, 1231 three-character, and 2819 four-character simplified Chinese words derived from the Common Lexical Database for Compulsory Education in China and Xu et al.’s (2021) AoA norms</t>
  </si>
  <si>
    <t>native Mandarin recruited through an online platform</t>
  </si>
  <si>
    <t>1 = "very unfamiliar" (unrecognizable or rarely seen, heard, or used); 7 = "very familiar" (seen, heard, or used nearly every day)</t>
  </si>
  <si>
    <t>1) Stadthagen-Gonzalez, H., &amp; Davis, C. J. (2006). The Bristol norms for age of acquisition, imageability, and familiarity. Behavior Research Methods, 38(4), 598–605. https:// doi. org/ 10. 3758/ BF031 93891; 2) Scott, G. G., Keitel, A., Becirspahic, M., Yao, B., &amp; Sereno, S. C. (2019). The Glasgow Norms: Ratings of 5,500 words on nine scales. Behavior Research Methods, 51(3), 1258–1270. https:// doi. org/ 10. 3758/ s13428- 018- 1099-3</t>
  </si>
  <si>
    <t>Participants were excluded for duplicate submissions, invariant responding, or having very low correlations (r &lt; .1) with the average ratings of other participants on the same list. A total of 53 participants were removed.</t>
  </si>
  <si>
    <t>Inter-rater reliability (within lists): 1) ICC M=.89, SD=.03, range=.82-.95. 2) Corrected split-half M=.88, SD=.04, range=.76-.96. 3) Inter-rater reliability (across lists): M=.76, SD=.08, range=.60-.91.</t>
  </si>
  <si>
    <t>Inter-rater reliability was assessed within each of the 45 word lists (using 1) ICC and 2) corrected split-half correlations) and 3) across word lists (by correlating ratings for 10% overlapping words).</t>
  </si>
  <si>
    <t>1) Wang et al. (2020), r = .58; Wang &amp; Chen (2020), r = .56; Yee (2017), r = .39; and Yao et al. (2017), r = .25 (all p &lt; .05). 2) Correlations with measures in MDEL-SCH (Tasnng et al., 2018): RTs: -.49*, acc: .38*, number of strokes of the first character: -.02,  number of strokes of the second character: .01, log10transformed contextual diversity of the words: .17*, log10transformed second character contextual diversity: .09*, word frequency: .51*, semantic transparency of the first character: .08*, semantic transparency of the second character: -.01*, AoA (Xu et al., 2020): -.43*; 3) Familiarity is a significant of zRT and ACC for low-, medium-, and high-frequency words based on MELD-SCH and CLP: zRT -.44, -.38, -.27, Acc .52, .37, .20 (MELD-SCH); zRT -.22, -.24, -.23, Acc .21, .19, .15 (CLP)</t>
  </si>
  <si>
    <t>1) Pearson's r correlations between the new norms and four previous Chinese familiarity databases for shared words. 2) Correlation with other nine lexical variables and RTs and accuracy in visual lexical decision task of other norms (MELD-SCH, Tsang et al., 2018). 3) regression analysis on lexical decision data from major Chinese lexicon projects</t>
  </si>
  <si>
    <t>https://static-content.springer.com/esm/art%3A10.3758%2Fs13428-022-01878-5/MediaObjects/13428_2022_1878_MOESM1_ESM.pdf</t>
  </si>
  <si>
    <t>2024_Chan_BRM</t>
  </si>
  <si>
    <t>10.3758/s13428-024-02437-w</t>
  </si>
  <si>
    <t>The words were from the Chinese Lexicon Project (Tse et al., 2017) and were presented in traditional script.</t>
  </si>
  <si>
    <t>students</t>
  </si>
  <si>
    <t>1 = very unfamiliar; 7 = very familiar</t>
  </si>
  <si>
    <t>The instructions were based on Yee (2017) and asked participants to rate how familiar they felt towards a specific word. Participants were told to rate the words as quickly as possible based on their first impression. Note that Yee (2017) used a 5-point scale.</t>
  </si>
  <si>
    <r>
      <t xml:space="preserve">ee, L. T. (2017). Valence, arousal, familiarity, concreteness, and imageability ratings for 292 two-character Chinese nouns in Cantonese speakers in Hong Kong. PLOS ONE, 12, e0174569. </t>
    </r>
    <r>
      <rPr>
        <rFont val="&quot;Merriweather Sans&quot;, &quot;Helvetica Neue&quot;, Helvetica, Arial, sans-serif"/>
        <color rgb="FF1155CC"/>
        <sz val="12.0"/>
        <u/>
      </rPr>
      <t>https://doi.org/10.1371/journal.pone.0174569</t>
    </r>
  </si>
  <si>
    <t>Participants who reported system errors, were left-handed, or did not complete the tasks were replaced. Participants outside the 18-25 age range were also replaced.</t>
  </si>
  <si>
    <t>Corrected split-half correlation = .69.</t>
  </si>
  <si>
    <t>Inter-rater reliability was calculated by split-half correlations corrected with the Spearman–Brown formula.</t>
  </si>
  <si>
    <t>1) The familiarity ratings were moderately associated with those in Yee (2017) (+.48), but weakly associated with those in Yao et al. (2017) (+.10) and Su et al. (2023a) (+.07). 2)  When fam was the predictor, all the beta coefficients were significant (range: .175 to  -.056) (Table 2 and 3)</t>
  </si>
  <si>
    <t>The validity of the ratings was assessed 1) by comparing them with other Chinese norming studies (Yee, 2017; Yao et al., 2017; Su et al., 2023a) through correlational analyses; 2) Multiple regressions with all the variables</t>
  </si>
  <si>
    <t>Valence, arousal, concreteness, imageability, and their corresponding ambiguity scores (standard deviation of ratings).</t>
  </si>
  <si>
    <t>https://osf.io/hwkv7</t>
  </si>
  <si>
    <t>check Ettore - comment on validity column about the regression models</t>
  </si>
  <si>
    <t>2018_Kraljević_Suvremena lingvistika</t>
  </si>
  <si>
    <t>10.22210/suvlin.2018.085.04</t>
  </si>
  <si>
    <t>Croatian</t>
  </si>
  <si>
    <t>Nouns</t>
  </si>
  <si>
    <t>Selected by the Croatian lexical database (Cro. Hrvatskaleksi~ka baza [HLB]) and they capture variations in length, number of graphemes and syllabic structure</t>
  </si>
  <si>
    <t>Different education recruited in academia (student and faculty staff) and private communication (mostly family settings)</t>
  </si>
  <si>
    <t>approx 33 (range: 27-44)</t>
  </si>
  <si>
    <t>1 = rare; 5 = highly frequent</t>
  </si>
  <si>
    <t>Frequency refers to the frequency with which you use a word, i.e. how often you use or hear it. (For example, the word “plate” is used or heard daily, so most participants will rate it as highly frequent, giving it a rating of 5; whereas the word “salute” is not so com- mon, so most participants will rate it as extremely infrequent, giving it a rating of 1.)</t>
  </si>
  <si>
    <t>non–parametric Spearman’s rho=0.33; p&lt;0.001 with imageability</t>
  </si>
  <si>
    <t>non-parametric Spearman's rho</t>
  </si>
  <si>
    <t>None</t>
  </si>
  <si>
    <t>imageability</t>
  </si>
  <si>
    <t xml:space="preserve"> http://polin-hlb.erf.hr/ </t>
  </si>
  <si>
    <r>
      <rPr>
        <rFont val="Calibri, sans-serif"/>
        <color rgb="FF000000"/>
        <sz val="10.0"/>
      </rPr>
      <t xml:space="preserve">The previously compiled Croatian Lexical Database (Kuvač Kraljević &amp; Olujić, </t>
    </r>
    <r>
      <rPr>
        <rFont val="Arial"/>
        <color rgb="FF1155CC"/>
        <sz val="11.0"/>
        <u/>
      </rPr>
      <t>2018</t>
    </r>
    <r>
      <rPr>
        <rFont val="Calibri, sans-serif"/>
        <color rgb="FF000000"/>
        <sz val="10.0"/>
      </rPr>
      <t>) is a meta-database, with imageability, subjective frequency, concreteness, familiarity, AoA, word class and word length ratings for 2869 words collected from seven different studies between 2007 and 2019. A total of 600 words in the database were rated by at least 23 raters and are thus a valuable resource. The remaining 2269 words were rated by three or fewer raters and should be approached with caution.</t>
    </r>
  </si>
  <si>
    <t>2021_Peti-Stantić_BRM</t>
  </si>
  <si>
    <t>10.3758/s13428-020-01533-x</t>
  </si>
  <si>
    <t>Words (nouns, verbs, adjectives, adverbs)</t>
  </si>
  <si>
    <t>hrWaC, a 1.2 billion web corpus of Croatian (Ljubešić &amp; Klubička, 2016) by combining the hrLex inflectional lexicon (Ljubešić, 2019) with objective word frequencies from hrWac. Only words with a raw frequency of over 3000 were excerpted.</t>
  </si>
  <si>
    <t>min 19</t>
  </si>
  <si>
    <t xml:space="preserve">almost never (1), once/several times a day (5); other points: once a year (2), once a month (3), once a week or (4)  </t>
  </si>
  <si>
    <t xml:space="preserve">Words also differ according to how frequently we encounter them. We encounter some words very frequently, whereas we encounter others very rarely. Another aim of this study is to collect subjective frequency ratings. Please, assess the following words on a scale from 1 to 5.  I encounter this word: 1 = almost never, 2 = once a year, 3 = once a month, 4 = once a week, 5 = once or several times a day.  </t>
  </si>
  <si>
    <t>split-half: r: .87 to .90 (M = .89). 
correlation with other DB: r = .83, p &lt; .01</t>
  </si>
  <si>
    <t>split half correlation (5000 rand) of the ss, correlation with Kuvač Kraljević &amp; Olujic</t>
  </si>
  <si>
    <t>con= .239; ima=.351; AoA=-.697; length=-.187; objfreq=.691</t>
  </si>
  <si>
    <t xml:space="preserve">Concurrent validity: Pearson correlation (NI on correction) with conc, imag, AoA, length, objfreq </t>
  </si>
  <si>
    <t>word length, word class, animacy and corpus frequency as well as ratings of concreteness, imageability, AoA</t>
  </si>
  <si>
    <t>https://doi.org/10.17234/megahr.2019.hpb</t>
  </si>
  <si>
    <t>NO ENGLISH TRANSLATIONS FOR THE WORDS</t>
  </si>
  <si>
    <t>2008_De Deyne_BRM</t>
  </si>
  <si>
    <t>10.3758/BRM.40.4.1030</t>
  </si>
  <si>
    <t>Dutch</t>
  </si>
  <si>
    <t>16 categories, 5–33 exemplars each. The 6 animal categories (amphibians, birds, fish, insects, mammals, and reptiles) and the 6 artifact categories (clothing, kitchen utensils, musical instruments, tools, vehicles, and weapons), the natural food and activity categories (fruit, vegetables, professions, and sports).</t>
  </si>
  <si>
    <t xml:space="preserve">1 meant that they had never seen, heard, or used the word before; a 2 meant that they had seen, heard, or used it just once or twice; a 3 meant that they had seen, heard, or used it sometimes; a 4 meant that they had seen, heard, or used it often; and a 5 meant that they had seen, heard, or used it very often. </t>
  </si>
  <si>
    <t>Gernsbacher, M. A. (1984). Resolving 20 years of inconsistent interactions between lexical familiarity and orthography, concreteness, and polysemy. Journal of Experimental Psychology: General, 113, 256-281.</t>
  </si>
  <si>
    <t>r &gt; .90</t>
  </si>
  <si>
    <t xml:space="preserve">Spearman–Brown formula to the split-half correlations. All reliability indices were calculated on 10,000 different randomizations of the participants </t>
  </si>
  <si>
    <t>typicality ratings, goodness ratings, goodness rank order, generation frequency, exemplar associative strength, category associative strength, estimated age of acquisition, word frequency, imageability ratings, and pairwise similarity ratings</t>
  </si>
  <si>
    <t>https://static-content.springer.com/esm/art%3A10.3758%2FBRM.40.4.1030/MediaObjects/DeDeyne-BRM-2008b.zip</t>
  </si>
  <si>
    <t xml:space="preserve">checked Giada
</t>
  </si>
  <si>
    <t>2020_Verheyen_BRM</t>
  </si>
  <si>
    <t>10.3758/s13428-019-01303-4</t>
  </si>
  <si>
    <t>Affective adjectives</t>
  </si>
  <si>
    <t>488 from van Loon-Vervoorn (1985), 328 English adjectives from Berrian et al. (1979) were translated into Dutch, other from De Deyne, Voorspoels, Verheyen, Navarro, &amp; Storms, 2014.</t>
  </si>
  <si>
    <t>min 13 - max 20</t>
  </si>
  <si>
    <t>never (1) and very often (7).</t>
  </si>
  <si>
    <t>Derived from De Deyne 2008</t>
  </si>
  <si>
    <t>De Deyne, S., Verheyen, S., Ameel, E., Vanpaemel, W., Dry, M. J., Voorspoels, W., &amp; Storms, G. (2008). Exemplar by feature applicability matrices and other Dutch normative data for semantic concepts. Behavior research methods, 40(4), 1030-1048.</t>
  </si>
  <si>
    <t>r &gt; .94</t>
  </si>
  <si>
    <t>Spearman-Brown formula to the split-half (not specificied number of randomizations)</t>
  </si>
  <si>
    <t>1)  .82 [.90]; 2) -.70 (aoa), .20 (concreteness), .23 (imageability), .18 (valence), .12 (arousal), .08 (dominance); 3)  with variables in Gilhooly &amp; Logie, 1980: AoA= -.72, concreteness= .11, imageability=.43; Bird et al., 2001: AoA=-.52, concreteness=-.11, imageability=-.03</t>
  </si>
  <si>
    <t>1) correlation with previous database (Hermans and De Houwer, 1994); 2) correlation with the other variables in the database; 3) correlation with other measures in previous databases (Gilhooly &amp; Logie, 1980; Bird et al., 2001)</t>
  </si>
  <si>
    <t>AoA, concreteness, imageability; valence, arousal, dominance; distributional variables (e.g., network statistics)</t>
  </si>
  <si>
    <t>https://osf.io/6zxej</t>
  </si>
  <si>
    <t>english translations</t>
  </si>
  <si>
    <t>2023_Raslescu_DIB</t>
  </si>
  <si>
    <t>10.1016/j.dib.2022.108831</t>
  </si>
  <si>
    <t>English</t>
  </si>
  <si>
    <t>Adjectives</t>
  </si>
  <si>
    <t>adjectives denoting personality characteristics</t>
  </si>
  <si>
    <t>101-point</t>
  </si>
  <si>
    <t>0 (never) to 100 (several times a day)</t>
  </si>
  <si>
    <t>responders were asked to rate how often they came across each of the 300 adjectives in their everyday life, from 0 (never) to 100 (several times a day).</t>
  </si>
  <si>
    <t>one participants was excluded because the proportion of engagement questions answered correctly was lower than 50%. 4 responses being excluded from the subjective frequency survey because difference scores” were more than 3 SD above the mean difference score value (difference between participant rating and the sample mean rating for that word)</t>
  </si>
  <si>
    <t xml:space="preserve">No direct validity measures are provided. </t>
  </si>
  <si>
    <t>valence, imageability</t>
  </si>
  <si>
    <t>https://data.mendeley.com/datasets/kgk3jbx9xb/1</t>
  </si>
  <si>
    <t>1999_Surprenant_BRM</t>
  </si>
  <si>
    <t>10.3758/BF03200740</t>
  </si>
  <si>
    <t>Nouns, surnames (proper names)</t>
  </si>
  <si>
    <t>Language variant: American English. 199 nouns, 199 surnames. Nouns were randomly sampled from the Kučera-Francis (1967) word database. Surnames were randomly sampled from the Purdue University phone book. Stimuli were not controlled for factors like word length or number of syllables.</t>
  </si>
  <si>
    <t>1 = not familiar, 7 = very familiar</t>
  </si>
  <si>
    <t>We would like you to judge each word (name) for familiarity, which is how commonly or frequently the words (names) have been experienced by you or how familiar they appear to be. If you think the word (name) you see is one that you have ENCOUNTERED VERY FREQUENTLY, fill in the circle marked 7. If you think that it is one that you have NOT ENCOUNTERED FREQUENTLY, fill in the 1.</t>
  </si>
  <si>
    <t>Twelve subjects were discarded because they were nonnative or bilingual speakers of American English or because they failed to follow instructions. No trimming of outlier ratings was reported.</t>
  </si>
  <si>
    <t>Session correlation for nouns: .94; for names: .90. Test-retest correlation for nouns: .74; for names: .86.</t>
  </si>
  <si>
    <t>The session reliability was calculated by correlating the ratings between two groups who rated the stimuli in a counterbalanced order (nouns first vs. names first). Test-retest reliability was calculated on 50 names and 50 nouns that were rerated at the end of the experiment.</t>
  </si>
  <si>
    <t>Noun familiarity vs. Kučera-Francis frequency: r = .26; vs. Coltheart familiarity: r = .92. Name familiarity vs. phone book frequency: r = .42. Familiarity vs. pronounceability for nouns: r = .63; for names: r = .74.</t>
  </si>
  <si>
    <t>Convergent validity was assessed by calculating Pearson correlations between the new familiarity ratings and other existing norms (Coltheart familiarity, Kučera-Francis frequency) and objective frequency counts from the source databases (Purdue phone book).</t>
  </si>
  <si>
    <t>Pronounceability, Objective frequency (Kučera-Francis counts for nouns, phone book counts for names), Number of syllables.</t>
  </si>
  <si>
    <t>https://static-content.springer.com/esm/art%3A10.3758%2FBF03200740/MediaObjects/Surprenant-BRM-1999.zip</t>
  </si>
  <si>
    <t>2008_Janschewitz_BRM</t>
  </si>
  <si>
    <t>10.3758/BRM.40.4.1065</t>
  </si>
  <si>
    <t>The set included 92 taboo words, 184 emotionally valenced words (92 positive, 92 negative), and 184 emotionally neutral words (92 category-related, 92 category-unrelated)</t>
  </si>
  <si>
    <t>2 types: Personal use: 1 = I never use this word; 9 = I use this word all the time. Familiarity: 1 = I never encounter this word; 9 = I encounter this word all the time</t>
  </si>
  <si>
    <t>Personal use: "How often do YOU use the word in any way—speaking or writing?" Familiarity: "How often do you encounter the word? For example, you may hear it used in a conversation, on the radio, in a movie or on TV, or you may read the word in a magazine, book, on the Internet, etc."</t>
  </si>
  <si>
    <t>Fam/Personal use</t>
  </si>
  <si>
    <t xml:space="preserve">sFreq/Personal use </t>
  </si>
  <si>
    <t>Data from 6 of the original 84 participants were excluded due to a failure to properly follow instructions. No other data cleaning procedures are mentioned.</t>
  </si>
  <si>
    <t>1. With Kučera and Francis's (1967) Written Frequency Norms (Objective)
Number of shared words: 377
For "Personal Use":
Correlation (r): .43
P-value: &lt; .001
For "Familiarity":
Correlation (r): .41
P-value: &lt; .001
Applies to: All word types (implied, as no "taboo words" qualifier is given for K-F)
2. With Jay's (1986) Estimate of Spoken Frequency (Objective/Taboo-Specific)
Number of shared words: 38
Applies to: Taboo words only
For "Personal Use":
Correlation (r): .50
P-value: &lt; .001
For "Familiarity":
Correlation (r): .52
P-value: &lt; .001
3. With Jay and Janschewitz's (2008b) Other Spoken Frequency Estimates of Taboo Words (Objective/Taboo-Specific)
Number of shared words: 46
Applies to: Taboo words only
For "Personal Use":
Correlation (r): .38
P-value: &lt; .01
For "Familiarity":
Correlation (r): .41
P-value: &lt; .005
4. With Jay's (1992) 1977 Subjective Frequency Ratings (Subjective)
Number of shared words: 24
For "Personal Use":
Correlation (r): .81
P-value: &lt; .001
For "Familiarity":
Correlation (r): .80
P-value: &lt; .001
Applies to: All word types (implied, as no "taboo words" qualifier is given)
5. With Jay's (1992) 1978 Subjective Frequency Ratings (Subjective)
Number of shared words: 63
For "Personal Use":
Correlation (r): .71
P-value: &lt; .001
For "Familiarity":
Correlation (r): .78
P-value: &lt; .001
Applies to: All word types (implied, as no "taboo words" qualifier is given)</t>
  </si>
  <si>
    <t>Pearson's r correlations were computed between the study's frequency ratings and other established frequency norms (Kučera &amp; Francis, 1967; Jay, 1977, 1978, 1986, 1997, 2006).</t>
  </si>
  <si>
    <t>Inappropriateness (offensiveness and tabooness), valence, arousal, imageability.</t>
  </si>
  <si>
    <t>https://static-content.springer.com/esm/art%3A10.3758%2FBRM.40.4.1065/MediaObjects/Janschewitz-BRM-2008.zip</t>
  </si>
  <si>
    <t>2015_Juhasz_BRM</t>
  </si>
  <si>
    <t>10.3758/s13428-014-0523-6</t>
  </si>
  <si>
    <t>Compound words</t>
  </si>
  <si>
    <t>Language variant: American English. The stimuli were English bilexemic compound words selected to vary on multiple dimensions (including familiarity). All stimuli were also present in the English Lexicon Project (Balota et al., 2007) database.</t>
  </si>
  <si>
    <t>7=very familiar, 1=not familiar at all</t>
  </si>
  <si>
    <t>Read each item below and rate the item on a scale from 1 to 7 indicating how familiar it is for you. If the item is very familiar give the item a rating of 7. If you feel you know the meaning of the word and use it frequently, then give it a high rating on this scale. If the item is not familiar at all, you do not know the meaning of the item, and you are not sure whether the item is a word or not, then give the item a rating of 1.</t>
  </si>
  <si>
    <t>Juhasz, B. J. (2008). The processing of compound words in English: Effects of word length oneye movements during reading. Language and Cognitive Processes, 23, 1057–1088.</t>
  </si>
  <si>
    <t>18 questionnaires were removed due to missing data, the participant being a nonnative English speaker, not following directions, or having recently participated in a related study.</t>
  </si>
  <si>
    <t>ICC for Set 1 = .896, ICC for Set 2 = .927.</t>
  </si>
  <si>
    <t>The interrater reliability was examined using intraclass correlations (ICC), based on a two-way random consistency model.</t>
  </si>
  <si>
    <t>Correlation with word frequency (SUBTLEX-US): r = .164. Correlation with the HAL frequency corpus (Burgess &amp; Livesay, 1998): r = .164. Correlation with Kučera and Francis (1967) corpus: r = .181 for the 352 compounds contained in the Kučera and Francis corpus. Correlation with AoA: r = -.670. Correlation with imageability: r = .475.</t>
  </si>
  <si>
    <t>Validity was assessed by calculating Pearson correlations between the familiarity ratings and other measures, including objective word frequency from various corpora (SUBTLEX-US, HAL, Kučera &amp; Francis, 1967 corpus) and the other variables rated in the study.</t>
  </si>
  <si>
    <t>Age of acquisition (AoA), semantic transparency, lexeme meaning dominance (LMD), imageability, and sensory experience rating (SER).</t>
  </si>
  <si>
    <r>
      <rPr>
        <rFont val="Calibri, sans-serif"/>
        <color rgb="FF000000"/>
        <sz val="10.0"/>
      </rPr>
      <t xml:space="preserve">The database is available as electronic supplementary material on the journal's website: </t>
    </r>
    <r>
      <rPr>
        <rFont val="Calibri, sans-serif"/>
        <color rgb="FF000000"/>
        <sz val="10.0"/>
      </rPr>
      <t>https://static-content.springer.com/esm/art%3A10.3758%2Fs13428-014-0523-6/MediaObjects/13428_2014_523_MOESM2_ESM.xlsx</t>
    </r>
  </si>
  <si>
    <r>
      <rPr>
        <rFont val="Calibri, sans-serif"/>
        <color rgb="FF000000"/>
        <sz val="10.0"/>
      </rPr>
      <t xml:space="preserve">Link to the instructions: </t>
    </r>
    <r>
      <rPr>
        <rFont val="Calibri, sans-serif"/>
        <color rgb="FF1155CC"/>
        <sz val="10.0"/>
        <u/>
      </rPr>
      <t>https://static-content.springer.com/esm/art%3A10.3758%2Fs13428-014-0523-6/MediaObjects/13428_2014_523_MOESM1_ESM.doc</t>
    </r>
  </si>
  <si>
    <t>Check da Irene: è un mix tra SubjFreq e conc fam dato che chiedeono non solo quante volte hanno incontrato la parola ma anche se conoscono il significato</t>
  </si>
  <si>
    <t>2006_Stadthagen-Gonzalez_BRM</t>
  </si>
  <si>
    <t>10.3758/BF03193891</t>
  </si>
  <si>
    <t>Language variant: British English. Stimuli were short (4-7 letters, 1-2 syllables), excluding regular past tenses or plurals. The dataset included 76 control words from Gilhooly &amp; Logie (1980), eventually merging with their norms for a total of 3,394 words.</t>
  </si>
  <si>
    <t>1 = NEVER (never seen/heard/used); 2 = RARELY; up to 7 = VERY OFTEN (seen/heard/used nearly every day).</t>
  </si>
  <si>
    <t>Instructions for Familiarity Ratings (adapted from Gilhooly &amp; Logie, 1980)
This is an experiment to find out how often you have come in contact with certain words. You will be given
a list of words and you are to rate each one as to the number of times that you experienced it by simply writing
down a number according to a 1 to 7 scale. In this scale, 1 represents “NEVER,” that is, you have never seen or
heard or used the word in your life; the number 2 represents “RARELY,” that is you have seen or heard or used
the word at least once before, but only rarely; and so on until 7, which represents “VERY OFTEN,” that is, you
have seen or heard or used the word nearly every day of your life.
Do not be bothered if you are unable to give a definition of some of the words. Simply rate each one as to the
number of times you have come in contact with it regardless of its meaning.
There may be some words which you have used or heard more often than you have seen them. Or there may
be other words which you have seen more often than you have used or heard them. In such cases, always give
the word in the highest rating of the three. For example, you probably use or hear the word “cheers” often, but
you may never have seen it in print. In this case, you would rate “cheers” as “OFTEN” and write down the
number 6.
When the experimenter tells you to start, go to the list of words and begin rating them at your own speed. This
is not a “speed” experiment, each participant will be given plenty of time to finish. On the other hand, do not
spend too much time on each word. The important thing is for you to be as accurate as possible.
Be as honest in your ratings as you can. Many of the words in this experiment are very rare, so you are not
expected to have come in contact with all of them. Just make the best estimates you are capable of.</t>
  </si>
  <si>
    <t>Gilhooly, K. J., &amp; Logie, R. H. (1980). Age-of-acquisition, imagery, concreteness, familiarity, and ambiguity measures for 1,944 words. Behavior Research Methods &amp; Instrumentation, 12, 395-427.</t>
  </si>
  <si>
    <t>No removal of outlier subjects or stimuli was mentioned. A linear transformation procedure was used to homogenize ratings across the five different blocks of words.</t>
  </si>
  <si>
    <t>1) Interblock reliability for control words N= 76) (Cronbach's α) was at least  α= .91. 2) The interrater reliability was at least  α= .98; 3) Inter-dataset reliability between Bristol norms and G&amp;L norms (N=76):  α = .86.</t>
  </si>
  <si>
    <t>Using Cronbach's alpha: 1) Interblock reliability on control words, 2) interrater reliability of Bristol norms; 3) Inter-dataset reliability between Bristol norms and G&amp;L Norms.</t>
  </si>
  <si>
    <t>Convergent validity was assessed by correlating the ratings  with 1) G&amp;L norms (r= .86), 2) standardized reaction times (lexical decision: r= -.53* and naming: r= -.33*) from the English Lexicon Project and 3) with various objective frequency measures (e.g., CELEX, BNC): word length in letters: -.13*, lengths in syllables: -.15*, length in phonemes: -.15*, mean log bigram frequency: .14*, neighborhood size: .11*, CELEX word freq: .60*, BNC= .57*, ratings from Educators’ Word Frequency Guide: .57*, BNC spoken: .72*; and 4) correlation among measures in the Bristol norms (AoA: r=-.61*, imageability: r=.12*). No specification of which type of correlation the authors used.</t>
  </si>
  <si>
    <t>Convergent validity was assessed by correlating the ratings  with 1) G&amp;L norms, 2) standardized reaction times (lexical decision and naming) from the English Lexicon Project and 3) with various objective frequency measures (e.g., CELEX, BNC) and 4) correlation among measures in the Bristol norms. No specification of which type of correlation the authors used.</t>
  </si>
  <si>
    <t>Age of acquisition (AoA) and imageability.</t>
  </si>
  <si>
    <t>the link in the paper doesn't work (send email to the cor-author</t>
  </si>
  <si>
    <t>The author sent me the file but he does not have a new link to share</t>
  </si>
  <si>
    <t>11-08-2025 SENT EMAIL FOR LINK TO DATABASE, resent email 22/8/2025 to aks again for a new link</t>
  </si>
  <si>
    <t>check Ettore - Erin: comment of database link</t>
  </si>
  <si>
    <t>2016_Gru ̈hn_PsycholRep</t>
  </si>
  <si>
    <t>10.1177/0033294116658474</t>
  </si>
  <si>
    <t>Affective nouns/adjectives</t>
  </si>
  <si>
    <t>1287 nouns, 985 adjectives.  The words were compiled from previous studies on emotional ratings. 75 words appeared in both the noun and adjective rating studies.</t>
  </si>
  <si>
    <t>2968 (1627 for adjectives, 1341 for nouns)</t>
  </si>
  <si>
    <t>30 (30-79, M= 48.0 for adjectives and for nouns 30-85, M=41.5)</t>
  </si>
  <si>
    <t>1 = very infrequently; 7 = very frequently</t>
  </si>
  <si>
    <t>"How frequently do you encounter each word (e.g. in books, TV)?"</t>
  </si>
  <si>
    <t>No information provided on data cleaning or outlier removal.</t>
  </si>
  <si>
    <t xml:space="preserve">1) Convergent validity (only for nouns): Vs. C&amp;P (Clark &amp; Paivio, 2004) (N=478, r=.69, p &lt; .01), PYM (Paivio et al., 1968) (N=337, r=.70, p &lt; .01). 2) Construct validity: 2) For Nouns (Table 3, p. 297, row 'Familiarity (F)'):Vs. Valence (V): r = .18 (p &lt; .01); Vs. Arousal (A): r = .06 (p &lt; .05);Vs. Imagery (I): r = .0200 (p = n.s.); Vs. Concreteness (CC): r = -.20 (p &lt; .01); Vs. Meaning (M): r = .40 (p &lt; .01);Vs. Emotionality (E): r = .0200 (p = n.s.); Vs. Length in Letters: r = -.05 (p = n.s.); Vs. Length in Syllables: r = -.03 (p = n.s.);Vs. Frequency KF (Kučera &amp; Francis, 1967): r = .40 (p &lt; .01);Vs. Frequency BNC (British National Corpus): r = .43 (p &lt; .01); Vs. Frequency WIK (Wiktionary): r = .33 (p &lt; .01);Vs. Frequency PG (Project Gutenberg): r = .36 (p &lt; .01);Vs. Frequency BN (Brysbaert &amp; New, 2009): r = .36 (p &lt; .01). For Adjectives (Table 4, p. 298, row 'Familiarity (F)'): Vs. Valence (V): r = .19 (p &lt; .01); Vs. Arousal (A): r = -.08 (p &lt; .05);Vs. Imagery (I): r = .40 (p &lt; .01); Vs. Concreteness (CC): r = .20 (p &lt; .01); Vs. Meaning (M): r = .50 (p &lt; .01);Vs. Emotionality (E): r = .19 (p &lt; .01); Vs. Likeableness (L): r = .21 (p &lt; .01); vs. Desirability (D): r = .21 (p &lt; .01); Vs. Control (CO): r = .15 (p &lt; .01); Vs. Length in Letters: r = .19 (p &lt; .01); Vs. Length in Syllables: r = .12 (p &lt; .01); Vs. Frequency KF (Kučera &amp; Francis, 1967): r = .25 (p &lt; .01);Vs. Frequency BNC (British National Corpus): r = .29 (p &lt; .01);Vs. Frequency WIK (Wiktionary): r = .23 (p &lt; .01); Vs. Frequency PG (Project Gutenberg): r = .25 (p &lt; .01); Vs. Frequency BN (Brysbaert &amp; New, 2009): r = .25 (p &lt; .01). 3) Predictive validity: For Nouns predicting Word Recognition (Table 7, p. 302, Model 3): Vs. Hits: Standardized regression weight (β): -.37 (p &lt; .01); Vs. False Alarms: Standardized regression weight (β): .18 (p &lt; .01); Vs. d' (d-prime): Standardized regression weight (β): -.36 (p &lt; .01). </t>
  </si>
  <si>
    <t>1) Convergent and 2) construct validity were assessed by calculating Pearson correlations with other previous norms and with other variables within the EMOTE database. £) Predictive validity with behavioral performance in a word recognition task.</t>
  </si>
  <si>
    <t>Nouns: Valence, arousal, emotionality, imagery, concreteness, clarity of meaning. Adjectives: All noun dimensions plus control, likeableness, and desirability. Objective measures for all words included length (letters, syllables) and frequency (from 5 sources).</t>
  </si>
  <si>
    <t>https://journals.sagepub.com/doi/suppl/10.1177/0033294116658474/suppl_file/emote.xlsx</t>
  </si>
  <si>
    <t>2004_Clark_BRM</t>
  </si>
  <si>
    <t>10.3758/BF03195584</t>
  </si>
  <si>
    <t>The word pool included the original 925 nouns from the Paivio, Yuille, and Madigan (1968) norms, plus an additional 1,386 items from diverse parts of speech. A familiarity replication was also performed on just the original 925 nouns.</t>
  </si>
  <si>
    <t>188-196</t>
  </si>
  <si>
    <t>47-49</t>
  </si>
  <si>
    <t>1=low scores, 7=
high scores.</t>
  </si>
  <si>
    <t>Fam?</t>
  </si>
  <si>
    <t>In total, 1,039 participants completed the rating tasks satisfactorily:  so it seems that some partecipants have been excluded from the final analysis, but without any specification of the criteria.</t>
  </si>
  <si>
    <t>Part 1: 1) Cronback's alpha: .958, 2) Correlation with Paivio (1974) norms (Test-retest across decades): .852. Part 2: 1) Split-half reliability = .92; 2) Test-retest correlation (on 133 words) = .948</t>
  </si>
  <si>
    <t>Part 1: 1) Internal consistency (Cronback's alpha), Correlation with Paivio (1974) norms (Test-retest across decades). Part 2: 1) Split-half correlation was calculated for the entire set of words. 2) Test-retest reliability was calculated using Pearson's r on a set of 133 repeated items.</t>
  </si>
  <si>
    <t>•	1) Fam with FrqKF (Kučera-Francis Frequency): r = .76 (Table 3, Part 2, for 2,111 words). Fam with FrqTL (Thorndike-Lorge Frequency): r = .63 (Table 3, Part 2, for 2,111 words). Fam with Dict (Children's Dictionaries Frequency): r = .62 (Table 3, Part 2, for 2,111 words). Fam2 with original Fam (within Part 1): r = .89 (Table 2, Part 1). Fam with AvlKB (Keenan &amp; Benjafield Availability): r = .61 (Table 2, Part 1). Fam with AvlRF (Rubin &amp; Friendly Availability): r = .73 (Table 2, Part 1).Fam with G&amp;L Familiarity (from Part 1, discussed earlier as "reliability" by authors): r = .86 (for 76 control words). 
•	Part 1: Factor structure of the expanded properties set: Fam (Familiarity) and 'Fam2' (Familiarity replication) both load highly on Factor 1, which is interpreted as a "familiarity and/or context availability factor. Part 2: ‘Fam' loads highly on Factor 1, which is also identified as a  frequency-familiarity factor.
•	Convergent Validity (from Appendix B):Fam with Fam2 (Familiarity replication): r = .89 ; Fam with AvlKB (Keenan &amp; Benjafield Availability): r = .61; Fam with FrqTL (Thorndike-Lorge Frequency): r = .76; Fam with FrqKF (Kučera-Francis Frequency): r = .75; Fam with AvlRF (Rubin &amp; Friendly Availability): r = .73; Fam with Dict (Children's Dictionaries Frequency): r = .63; Fam with ConAv (Context Availability): r = .80
•	Discriminant Validity (from Appendix B):Fam with Syl (Number of Syllables): r = -.28; Fam with Img (Imagery): r = .34; Fam with Emo (Emotionality): r = .29; Fam with Gend/Gend2 (Gender Ladenness): r = .08 and r = .08.
•	 A principal components factor analysis identified both Fam and Fam2 load very highly on Factor 1 (e.g., Fam has a loading of .74 and Fam2 has .89 on Factor 1). Factor 1 is explicitly identified as a "familiarity and/or context availability factor</t>
  </si>
  <si>
    <t>Convergent validity was established through Pearson's r correlations with established objective frequency measures (Kučera-Francis, Thorndike-Lorge) and examining correlations between Familiarity (Fam and Fam2) and other measures that are theoretically expected to be related. Discriminant Validity examining correlations between Familiarity (Fam and Fam2) and other measures that are theoretically expected to be distinct or less related.
Construct Validity  via a principal components factor analysis.</t>
  </si>
  <si>
    <t>Age of acquisition, Number of associates, Context availability, Ease of definition, Number of meanings, Pronounceability, Same initial letters, Similar looking words, Same initial sound, Similar sounding words, Number rhyming words, Emotionality, Pleasantness, Emotionality-pleasantness, Familiarity replication, Imagery replication, Gender ladenness, Gender replication, Log children's dictionaries, Imagery, Concreteness, Meaningfulness, Goodness, Emotionality-goodness, Log R&amp;F availability, Log K&amp;B availability, Log L2 number, Length in letters, Number of syllables, Log K&amp;F frequency, Log T&amp;L frequency</t>
  </si>
  <si>
    <t>https://static-content.springer.com/esm/art%3A10.3758%2FBF03195584/MediaObjects/Clark-BRM-2004.zip</t>
  </si>
  <si>
    <t>2001_Balota_CogMem</t>
  </si>
  <si>
    <t>10.3758/BF03200465</t>
  </si>
  <si>
    <t>Monosyllabic Words</t>
  </si>
  <si>
    <t>The words were drawn from stimulus sets used to develop computational models and ranged from two to eight letters in length, with a wide range of objective frequencies.</t>
  </si>
  <si>
    <t>undergraduates, healthy older adults, and a large web-based sample of adults</t>
  </si>
  <si>
    <t>Young adults: 30 or 32; Older adults: 90 (for a subset of 480 words); Web-based: 40-69.</t>
  </si>
  <si>
    <t>1 = never; 2 = once a year; 3 = once a month; 4 = once a week; 5 = every two days; 6 = once a day; 7 = several times a day.</t>
  </si>
  <si>
    <t>"Words differ in how commonly or frequently they have been encountered.
Some words are encountered very frequently, whereas other
words are encountered infrequently. The purpose of this study is to rate
a list of 160 words with respect to frequency. We believe that your ratings
will be important to future studies involving word recognition. You
should base your ratings according to the following 7-point scale: 1 5
never, 2 5 once a year, 3 5 once a month, 4 5 once a week, 5 5 every
two days, 6 5 once a day, 7 5 several times a day." In addition, the healthy young and older adults also rated each word
on four additional dimensions (i.e., read, heard, wrote, or said).
These individuals were given the additional following instruction:
“Because words can be encountered in many different ways, we ask
you to provide five different ratings for each word.”</t>
  </si>
  <si>
    <t>No procedures for removing outlier subjects or data points were mentioned.</t>
  </si>
  <si>
    <t>High inter-group reliability was found. Correlations on a common set of 480 words were: Young-Old: r = .92; Young-Web: r = .95; Old-Web: r = .93.</t>
  </si>
  <si>
    <t>Inter-group reliability was assessed using Pearson's r correlations between the mean frequency estimates provided by the three different groups (young, old, web-based) for a common subset of 480 words.</t>
  </si>
  <si>
    <t>All items for group: Correlation with objective log frequency (Kučera &amp; Francis) was .78-.79. Correlation with objective log frequency (CELEX) was .81-.83. Vs. neighborhood size: .14-.18, vs. meaningfulness (Toglia &amp; Battig, 1978): .16-.29, familiarity (Toglia &amp; Battig, 1978): .65-.76. Same 480 words across groups: Correlation with objective log frequency (Kučera &amp; Francis) was .78-.79. Correlation with objective log frequency (CELEX) was .82-.83. Vs. neighborhood size: .16-.18, vs. meaningfulness (Toglia &amp; Battig, 1978): .13(NS)-.16, familiarity (Toglia &amp; Battig, 1978): .65-.70.</t>
  </si>
  <si>
    <t>Validity was assessed by calculating Pearson correlations with objective frequency counts (Kučera &amp; Francis, CELEX) and other subjective norms (Toglia &amp; Battig)</t>
  </si>
  <si>
    <t>For the young and older adult groups, separate ratings were collected for the frequency of encountering a word in four different modalities: reading, hearing, writing, and speaking.</t>
  </si>
  <si>
    <t>Link does not work: http://www.artsci.wustl.edu/~dbalota/labpub.html</t>
  </si>
  <si>
    <t>write email: dbalota@artsci.wustl.edu</t>
  </si>
  <si>
    <t>11-08-2025 SENT EMAIL FOR LINK TO DATABASE, resent email 22/08/2025 to the new email address, mi ha inviato il file, niente link</t>
  </si>
  <si>
    <t>check Ettore - Erin: comment of validity measures - include the multiple regressions results?</t>
  </si>
  <si>
    <t>2019_Scott_BRM</t>
  </si>
  <si>
    <t>10.3758/s13428-018-1099-3</t>
  </si>
  <si>
    <t>Words ranged in length from two to 16 letters, with
an average length of 6.10 letters (SD = 1.99).
The corpus included 379 ambiguous words.</t>
  </si>
  <si>
    <t>university community</t>
  </si>
  <si>
    <t>M = 32.36 (SD=3.60), range = 22-67</t>
  </si>
  <si>
    <t>1= very unfamiliar, 7=very familiar</t>
  </si>
  <si>
    <t>Familiarity is a measure of how familiar something is. A word is very FAMILIAR if you see/hear it often and it is easily recognisable. In contrast, a word is very UNFAMILIAR if you rarely see/hear it and it is relatively unrecognisable. Please indicate how familiar you think each word is on a scale of VERY UNFAMILIAR to VERY FAMILIAR, with the midpoint representing moderate familiarity.</t>
  </si>
  <si>
    <t>Response times under 600 ms were excluded. Responses where participants selected an "unfamiliar word" option were also excluded from the final rating calculations.</t>
  </si>
  <si>
    <t>1) Spearman's correlation with Arousal (r=.18*), valence (r=.30*), Dominance (r=.23*), concreteness (r=.10*), imageability (r=.22*), Age of Acquisition (r = -.67*), semantic size (r=.05 ns), gender association (r=-.21*). 2) Pearson's r with other familiarity norms ranged from .64 to .82 (i.e., r = .82 with Gilhooly &amp; Logie, 1980a; r=.72 Gilhooly &amp; Logie, 1980b; r = .81 with Stadthagen-Gonzalez &amp; Davis, 2006; Juhasz et al., 2015 r= .64, Clark and Paivio 2004, r=.82). 3) Factor 4 - Exposure: loadings fam -.934, AoA .843.</t>
  </si>
  <si>
    <t>Calculated with 1) Spearman correlation among variables in Glasgow norms, 2) Pearson correlations with other psycholinguistic norms;  3) Principal Component Analysis was also performed on all nine collected dimensions to investigate the relationships between them.</t>
  </si>
  <si>
    <t>Arousal, valence, dominance, concreteness, imageability, age of acquisition, semantic size, and gender association.</t>
  </si>
  <si>
    <t>https://static-content.springer.com/esm/art%3A10.3758%2Fs13428-018-1099-3/MediaObjects/13428_2018_1099_MOESM2_ESM.csv</t>
  </si>
  <si>
    <t>2010_Eilola_BRM</t>
  </si>
  <si>
    <t>10.3758/BRM.42.1.134</t>
  </si>
  <si>
    <t>Finnish/ English</t>
  </si>
  <si>
    <t>The word set included 34 taboo words. Stimuli were chosen to be uninflected, in singular form, and unambiguously translatable between (British) English and Finnish.</t>
  </si>
  <si>
    <t xml:space="preserve">304 Finnish speakers, 135 English speakers </t>
  </si>
  <si>
    <t>152 Finnish? + 68 English?</t>
  </si>
  <si>
    <t>visual analogue scaleconverted to 0-9 point scale</t>
  </si>
  <si>
    <t>0 = never, 9 = very often</t>
  </si>
  <si>
    <t xml:space="preserve">"This dimension involves rating how often the given word occurs in everyday language either in written or spoken form. How often do you use the given word in your speech? How often do you hear other people using the given word in their speech? How often do you see the given word in a written form, or use it yourself in writing?"	</t>
  </si>
  <si>
    <t>Participants could not proceed to the next page without rating all words, to avoid missing data. No other procedures were mentioned.</t>
  </si>
  <si>
    <t>Correlation between British English and Finnish familiarity ratings: r = .72.</t>
  </si>
  <si>
    <t>Cross-linguistic correlation (Pearson's r) between the ratings provided by the two language groups.</t>
  </si>
  <si>
    <t>The familiarity ratings for British English were correlated with the American English norms from Janschewitz (2008) for a subset of 24 taboo words: correlation with personal use, r = .61; correlation with familiarity, r = .56; for Finnish (not significant): correlation with personal use, r = .25; correlation with familiarity, r = .24.</t>
  </si>
  <si>
    <t xml:space="preserve">Pearson correlations with previously published norms for American English </t>
  </si>
  <si>
    <t>Emotional valence, emotional charge (arousal), offensiveness, and concreteness.</t>
  </si>
  <si>
    <r>
      <rPr>
        <rFont val="Calibri, sans-serif"/>
        <color rgb="FF000000"/>
        <sz val="10.0"/>
      </rPr>
      <t xml:space="preserve"> </t>
    </r>
    <r>
      <rPr>
        <rFont val="Calibri, sans-serif"/>
        <color rgb="FF1155CC"/>
        <sz val="10.0"/>
        <u/>
      </rPr>
      <t>https://static-content.springer.com/esm/art%3A10.3758%2FBRM.42.1.134/MediaObjects/Eilola-BRM-2010.zip</t>
    </r>
  </si>
  <si>
    <t>check Giada</t>
  </si>
  <si>
    <t>includes enough information</t>
  </si>
  <si>
    <t>2021_Miceli_FrontPsychol</t>
  </si>
  <si>
    <t>10.3389/fpsyg.2021.667271</t>
  </si>
  <si>
    <t>French</t>
  </si>
  <si>
    <t>Stimuli were 270 common nouns, most of which were concrete. 188 were selected from Bonin et al. (2003a) and 82 from the Lexique 3 database</t>
  </si>
  <si>
    <t>French-speaking participants (80 women, 16 men) aged between 18 and 50 (mean age = 26.73). They had a high socio-cultural level. Recruited through social media ads.</t>
  </si>
  <si>
    <t>6-point</t>
  </si>
  <si>
    <t>NI (LINK DOESN'T WORK)</t>
  </si>
  <si>
    <t>ChedidG.WilsonM. A.BedettiC.ReyA. E.ValletG. T.BrambatiS. M. (2019b). Norms of conceptual familiarity for 3,596 French nouns and their contribution in lexical decision. Behav. Res. Methods51, 2238–2247. doi: 10.3758/s13428-018-1106-8</t>
  </si>
  <si>
    <t>sFreq?</t>
  </si>
  <si>
    <t>Familiarity was significantly positively correlated with all five perceptual strength modalities (Spearman's ρ)(visual: .857*, auditory: .370*,  haptic: r=.767*, gustatory: r=.356*, olfactor: r=313*).</t>
  </si>
  <si>
    <t>Spearman's correlation between conceptual familiarity ratings and the five perceptual strength ratings.</t>
  </si>
  <si>
    <t>Perceptual strength (visual, auditory, haptic, gustatory, olfactory), interoceptive strength, imageability, concreteness, age of acquisition (AoA), arousal, valence, and objective frequencies (books and films).</t>
  </si>
  <si>
    <r>
      <rPr>
        <rFont val="Calibri, sans-serif"/>
        <color rgb="FFFF0000"/>
        <sz val="10.0"/>
      </rPr>
      <t xml:space="preserve">Link does not work: </t>
    </r>
    <r>
      <rPr>
        <rFont val="Calibri, sans-serif"/>
        <color rgb="FFFF0000"/>
        <sz val="10.0"/>
        <u/>
      </rPr>
      <t>https://sharepoint1.umons.ac.be/FR/UNIVERSITE/FACULTES/FPSE/SERVICESEETR/SC_CO/Pages/Appendixes.aspx.</t>
    </r>
  </si>
  <si>
    <t>Aurélie Miceli, aurelie.miceli@umons.ac.be; Erika Wauthia, erika.wauthia@umons.ac.be</t>
  </si>
  <si>
    <t>22/08/2025 sent email for link and instructions</t>
  </si>
  <si>
    <t>2015_Bonini_BRM</t>
  </si>
  <si>
    <t>10.3758/s13428-014-0466-y</t>
  </si>
  <si>
    <t>Acronyms</t>
  </si>
  <si>
    <t>The final list of stimuli was selected from an initial pool of 414. They included initialisms (e.g., FBI), pronounceable acronyms (e.g., NASA), and foreign acronyms (e.g., USA).</t>
  </si>
  <si>
    <t>19-20</t>
  </si>
  <si>
    <t>1 = never heard, read, or produced; 5 = heard, read, or produced very often.</t>
  </si>
  <si>
    <t>Participants had to rate the frequency with which they thought they read, heard, or produced each acronym</t>
  </si>
  <si>
    <t>Any acronym that received a rating of 1 from at least half of the participants was removed from the list for subsequent ratings.</t>
  </si>
  <si>
    <t>Split-half correlation (r) = .89.</t>
  </si>
  <si>
    <t xml:space="preserve">Split-half reliability was calculated by correlating the mean scores of even and odd participants. An ICC was not calculated because two different lists were used. No specification on the type of correlation (Pearson?) </t>
  </si>
  <si>
    <t>Correlation with: reading times=-.43*, number of letters=-.08, number of syllables=-.08, number of phonemes=-.07,  number of orthographic neighbors= -.02, printed frequency: .15*, imageability: .81*,  AoA: -.55*, bigram frequency= -.06.</t>
  </si>
  <si>
    <t>Validity was assessed by calculating Pearson correlations between the subjective frequency ratings and other collected psycholinguistic variables (e.g., imageability, AoA, objective frequency) and reading times.</t>
  </si>
  <si>
    <t>Age-of-acquisition, imageability, objective printed frequency, bigram frequency, length (letters, phonemes, syllables), orthographic neighbors, reading times, accuracy scores.</t>
  </si>
  <si>
    <t>https://static-content.springer.com/esm/art%3A10.3758%2Fs13428-014-0466-y/MediaObjects/13428_2014_466_MOESM1_ESM.xlsx</t>
  </si>
  <si>
    <t>2022_Bonin_BRM</t>
  </si>
  <si>
    <t>10.3758/s13428-021-01601-w</t>
  </si>
  <si>
    <t>The stimuli were selected from French online dictionaries and the Lexique.org database to be familiar to undergraduates and to vary in familiarity.</t>
  </si>
  <si>
    <t>Familiarity: 30. Subjective Frequency: 31</t>
  </si>
  <si>
    <t>min 28</t>
  </si>
  <si>
    <t>Conceptual Familiarity: 1 = "the concept is not familiar at all"; 5 = "the concept is very familiar". Subjective Frequency: 1 = "I have never heard, read or used the word"; 5 = "I have very frequently heard, read or used the word".</t>
  </si>
  <si>
    <t>Conceptual Familiarity: Participants were instructed to indicate how familiar the concept denoted by each compound word was for them. Subjective Frequency: Participants were told to indicate the degree to which they think they had read, heard, or used the compounds</t>
  </si>
  <si>
    <t xml:space="preserve">Familiarity: Juhasz, B. J., Lai, Y. H., &amp; Woodcock, M. L. (2015). A database of 629 English compound words: Ratings of familiarity, lexeme meaning dominance, semantic transparency, age of acquisition, imageability, and sensory experience. Behavior research methods, 47, 10041019.; NI for Subjective frequency: </t>
  </si>
  <si>
    <t>Subjects: Three participants were removed (one from the conceptual familiarity task) because the mean of their inter-correlations with other participants was more than three standard deviations below the group mean. Stimuli: Four words were discarded due to being omitted or misspelled in some rating tasks.</t>
  </si>
  <si>
    <t>Conceptual Familiarity: r(even,odd) = .87, ICC = .89. Subjective Frequency: r(even,odd) = .94, ICC = .94.</t>
  </si>
  <si>
    <t>Reliability was assessed by calculating the correlation between by-item means for even and odd participants (r(even,odd)) and the Intraclass Correlation Coefficient (ICC(2,k)).</t>
  </si>
  <si>
    <t>1) Conceptual Familiarity: Subjective Frequency (r = .869*), Imageability (r = .670*), and sensory experience rating (r = .525*); AoA (r = -.668*), length (r=-.007), objective subtitle frequency (r=.378*), semantic transparency (r=.379*), lexical meaning dominance (r=-.021), . Subjective Frequency: length (r=-.040), objective subtitle frequency (r=.521*), Imageability (r = .523); AoA (r = -.611), semantic transparency (r=.303*), lexical meaning dominance (r=.017), sensory experience rating (r=.415*). 2) First component explained 42.55% of variance included objective frequency (.40), subjective frequency (.81), familiarity (.89), AoA (-.86), semantic transparency (.44), imageability (.86), sensory experience rating (.74).</t>
  </si>
  <si>
    <t>1) Pearson correlations between all collected variables. 2) A principal component analysis was also performed to examine the underlying structure of the norms. Given the high correlation
between subjective frequency and conceptual
familiarity, only subjective frequency was retained in the analyses.</t>
  </si>
  <si>
    <t>Lexeme meaning dominance, semantic transparency, sensory experience (SER), imageability, and age of acquisition (AoA)</t>
  </si>
  <si>
    <t xml:space="preserve"> https://static-content.springer.com/esm/art%3A10.3758%2Fs13428-021-01601-w/MediaObjects/13428_2021_1601_MOESM1_ESM.zip</t>
  </si>
  <si>
    <t>2022-Ballot_BRM</t>
  </si>
  <si>
    <t>10.3758/s13428-021-01621-6</t>
  </si>
  <si>
    <t>Affective nouns, adjectives, verbs, adverbs</t>
  </si>
  <si>
    <t>The words are neutral and emotional French words from the EMA database (Gobin et al., 2017), which provides age-related valence and arousal ratings. The words had 4-7 letters and 1-3 syllables.</t>
  </si>
  <si>
    <t>4 age groups</t>
  </si>
  <si>
    <t>137 (across age)</t>
  </si>
  <si>
    <t>1 = "words that they had never encountered"; 2 = "encountered once a year"; 3= "encountered once a month"; 4 = "encountered once a week"; 5 = "encountered once every 2 days"; 6 = "encountered once a day"; 7 = “words that they had encountered several times a day".</t>
  </si>
  <si>
    <t>The instructions were identical to those used in previous studies (e.g., Balota et al., 2001; Robert et al., 2012).</t>
  </si>
  <si>
    <r>
      <t xml:space="preserve">1) Balota, D. A., Pilotti, M., &amp; Cortese, M. J. (2001). Subjective frequency estimates for 2,938 monosyllabic words. Memory &amp; Cognition, 29(4), 639–647. </t>
    </r>
    <r>
      <rPr>
        <rFont val="Calibri, sans-serif"/>
        <color rgb="FF1155CC"/>
        <sz val="10.0"/>
        <u/>
      </rPr>
      <t>https://doi.org/10.3758/BF03200465</t>
    </r>
    <r>
      <rPr>
        <rFont val="Calibri, sans-serif"/>
        <color rgb="FF000000"/>
        <sz val="10.0"/>
      </rPr>
      <t>; 2) Robert, C., Dorot, D., &amp; Mathey, S. (2012). Du campus au jardin: estimations de fréquence subjectiveauprès d’adultes jeunes et âgéspour 660 mots de la langue française. L’Année psychologique, 112(2), 227–246. https://doi.org/10.4074/S0003503312002035</t>
    </r>
  </si>
  <si>
    <t>Cronbach's alpha coefficients for each list were between .98 and .99. Split-half correlations for each age group were high (between .97 and .99).</t>
  </si>
  <si>
    <t>The reliability was assessed using two methods: (1) Cronbach's alpha coefficient for each list across all participants, and (2) Bravais-Pearson correlations (adjusted with Spearman-Brown correction) using a split-half method for each age group.</t>
  </si>
  <si>
    <t>Correlations with previous norms ranged from .62 to .97. Correlations with objective frequency were moderate (Frantext: r ≈ .41; Web: r ≈ .40). Correlations with imageability ranged from .19 to .43 across age groups.</t>
  </si>
  <si>
    <t>Validity was assessed by computing Bravais-Pearson correlations with shared words from six previous French norms. The study also examined correlations with objective frequency indexes and the newly collected imageability ratings.</t>
  </si>
  <si>
    <t>Imageability (collected in the same study for the same age groups); Valence and Arousal (available from the EMA database for the same words and age groups).</t>
  </si>
  <si>
    <t>https://osf.io/vhmub/?view_only=a4f2e3ecf68e4c669fecd28e5464e989</t>
  </si>
  <si>
    <t>Check da Irene ho aggiunto dei suggerimenti di modifica</t>
  </si>
  <si>
    <t>2008_Ferrand_BRM</t>
  </si>
  <si>
    <t>10.3758/BRM.40.4.1049</t>
  </si>
  <si>
    <t>Monosyllabic words</t>
  </si>
  <si>
    <t>The stimuli were selected as the most generally known monosyllabic words to French students and included nouns, verbs, adjectives, adverbs, numerals, and function words.</t>
  </si>
  <si>
    <t>1 = never encountered; 2 = once a year; 3 = once a month; 4 = once a week; 5 = once every two days; 6 = once a day; 7 = several times a day.</t>
  </si>
  <si>
    <t>Instructions were adapted from Balota et al. (2001) and asked participants to rate the frequency of encountering words in their written or spoken form based on the 7-point scale. Throughout our lives, we hear and see many words. These words
differ in how commonly or frequently they have been encountered Some words are encountered very frequently, whereas
other words are encountered infrequently. The purpose of this
study is to determine, according to your estimation, the frequency
of the words you encounter in their written or spoken form. You
should base your frequency ratings according to the following
7-point scale: 1 􀀕 never, 2 􀀕 once a year, 3 􀀕 once a month, 4 􀀕
once a week, 5 􀀕 every two days, 6 􀀕 once a day, 7 􀀕 several
times a day. Your task is to type your estimation on the keyboard.
For instance, if you think that you never encountered a word, you
type 1. Or, if you think that you encounter the word “detergent”
once a week, type 4. If you think that you encounter the word
“bread” several times a day, type 7. When making your ratings,
try to be as accurate as possible, but do not spend too much time
on any one word. If you have any question, ask the experimenter
now. Otherwise, press 􀀌Enter􀀎 to begin the study.</t>
  </si>
  <si>
    <r>
      <rPr>
        <rFont val="Calibri, sans-serif"/>
        <color rgb="FF000000"/>
        <sz val="10.0"/>
      </rPr>
      <t xml:space="preserve">1) Balota, D. A., Pilotti, M., &amp; Cortese, M. J. (2001). Subjective frequency estimates for 2,938 monosyllabic words. Memory &amp; Cognition, 29(4), 639–647. </t>
    </r>
    <r>
      <rPr>
        <rFont val="Calibri, sans-serif"/>
        <color rgb="FF1155CC"/>
        <sz val="10.0"/>
        <u/>
      </rPr>
      <t>https://doi.org/10.3758/BF03200465</t>
    </r>
  </si>
  <si>
    <t>Latencies and ratings made in less than 500 ms were eliminated from the analyses. This criterion eliminated less than 2%
of the data in both rating tasks. For the subjective frequency task, the average latency was 2,486 msec (SD =1,214)</t>
  </si>
  <si>
    <t>Split-half correlation: M = .93 (range .89 to .95).</t>
  </si>
  <si>
    <t>The split-half reliability was calculated by randomly splitting the participants into two groups 1,000 times and computing the correlation between the averaged ratings.</t>
  </si>
  <si>
    <t>1) Correlation with norms from other French (Bonin et al., 2003): r=.87, N= 277; Canadian French (Desrochers &amp; Bergeron, 2000): r=.73, N=360; French (Flieller &amp; Tournois (1994): r=.86, N=111, American English (Balota et al., 2001): r=.78, N=681, British English (Stadthagen-Gonzelez &amp; Davis (2006): r= .70, N=243. 2) AoA=-.57, objective frequency - lexique3 written (New et al., 2007): .73, objective frequency - lexique 3 spoken=.81, objective frequency – Manulex (Lete et al., 2004)= -73, letters: -.28, phonemes: -.26, neighbors: .23, imageability: -.28</t>
  </si>
  <si>
    <t>1) Congruent validity was established by calculating Pearson correlations with other published subjective frequency norms on common words, 2) Correlation with the other variables was calculated.</t>
  </si>
  <si>
    <t>Age of acquisition (AoA)</t>
  </si>
  <si>
    <t>https://static-content.springer.com/esm/art%3A10.3758%2FBRM.40.4.1049/MediaObjects/Ferrand-BRM-2008.zip</t>
  </si>
  <si>
    <t>2019_Chedid_BRM</t>
  </si>
  <si>
    <t>10.3758/s13428-018-1106-8</t>
  </si>
  <si>
    <t>Language variant: Canadian French. The word list was taken from the Desrochers and Thompson (2009) database, for which subjective frequency and imageability norms were already available.</t>
  </si>
  <si>
    <t>Mean of 23 participants per word (min = 16, max = 30).</t>
  </si>
  <si>
    <t>The left side of the scale corresponded to "very low familiarity" ("Extrêmement peu familier") and the right side to "very high familiarity" ("Extrêmement familier").</t>
  </si>
  <si>
    <t>Participants were asked to what extent they felt familiar with the concept evoked by the word.</t>
  </si>
  <si>
    <t>Subjects: 6 participants were excluded for providing invariant responses, 5 for mean scores ±3.5 SD from the session mean. Ratings: Scores falling outside ± 3.5 standard deviations from the mean
were classified as outliers. Resonses with latencies less than 300 ms were excluded.</t>
  </si>
  <si>
    <t>1) Intrastudy: Split-half correlation r = .848; 2) Cronbach’s alpha = .913; 3) Test-retest correlation r = .769. 4) Interstudy: Correlation with Alario &amp; Ferrand (1999) r = .402; with Bonin et al. (2003) r = .262.</t>
  </si>
  <si>
    <t>Intrastudy reliability was assessed using 1) split-half correlations, 2) Cronbach's alpha, and 3) test-retest correlations on repeated words. 4) Interstudy reliability was assessed by correlating the norms with previously published French norms based on picture stimuli.</t>
  </si>
  <si>
    <t>The new norms significantly facilitated lexical decision latencies (β = −.285) after controlling for objective frequency, subjective frequency, imageability, AoA, length, and orthographic similarity. The norms were also highly correlated with subjective frequency (r = .69) and imageability (r = .38).</t>
  </si>
  <si>
    <t>The contribution of the new norms was assessed in a stepwise regression model predicting lexical decision times from the French Lexicon Project (Ferrand et al., 2010), after accounting for other known psycholinguistic variables.</t>
  </si>
  <si>
    <t>Subjective frequency, imageability, age of acquisition (AoA), objective word frequency, word length (letters, syllables), orthographic similarity (N-size, OLD20), and lexical decision times.</t>
  </si>
  <si>
    <t>https://lingualab.ca/fr/project/norms-familiarity-perceptual-strength/</t>
  </si>
  <si>
    <t>2009_Desrochers_BRM</t>
  </si>
  <si>
    <t>10.3758/BRM.41.2.546</t>
  </si>
  <si>
    <t>Stimuli were selected to maximize dispersion across the rating scale and included a mix of previously documented and undocumented nouns.</t>
  </si>
  <si>
    <t>1= rare, 7= commonly used</t>
  </si>
  <si>
    <t>In the language we hear every day, French words appear with varying frequencies. Some words are used very frequently; others are used rarely or even exceptionally. The aim of this study is to evaluate a large number of words in terms of how frequently—or infrequently—they appear in language. Words that you believe are used most often will receive a high frequency rating; those that are used only rarely or exceptionally will receive a low frequency rating.The words we ask you to rate will be presented one at a time in the center of the computer screen. We ask you to enter your frequency rating using the computer’s number keypad. Please express your judgment using a seven-point scale, where the value 1 represents the lowest end of the scale (lowest frequency), and 7 represents the highest end (highest frequency). Words that seem most frequent to you in the language should be rated 7; conversely, words that seem almost never used should be rated 1.</t>
  </si>
  <si>
    <t>Balota, D. A., Pilotti, M., &amp; Cortese, M. J. (2001). Subjective frequency estimates for 2,938 monosyllabic words. Memory &amp; Cognition, 29(4), 639–647. https://doi.org/10.3758/BF03200465</t>
  </si>
  <si>
    <t>Ratings falling outside a ±3.5 standard deviation cutoff were discarded. Response latencies shorter than 300 ms were also excluded.</t>
  </si>
  <si>
    <t>Internal consistency (Cronbach's alpha) = .98. Test-retest reliability (Pearson's r) for within-session repeated items = .99; for between-sessions repeated items = .99. Participant-sample correlations ranged from .45 to .83 for subjective frequency (excluding one
outlier at .21)</t>
  </si>
  <si>
    <t>Reliability was assessed using multiple methods: Cronbach's alpha for internal consistency, and test-retest correlations (within and between sessions) for stability. Participant-level reliability was also calculated.</t>
  </si>
  <si>
    <t>1) Correlation with other French subjective frequency norms: Desrochers &amp; Bergeron (2000): .95; Bonin et al. (2003): .85, Fieller &amp; Tornoius (1994): .86, Ferrand et al (2008): .84, Gonthier et al: .91, Forget (2005): .94, Denis (1975): .87. Correlation with objective frequency: New et al. (2004): .67*, New &amp; Pallier (2005): .56*, Imbs (1971): .60*, Lete et al. (2004): .52*, Baudot (1992): .66*, Lambert &amp; Chesnet (2001): .42*, Verlinde &amp; Selva: .60*, Engwall (1984): .67*, Vikis-Freibergs (1974): .46*, Juilland et (1970): .58*, Lyne (1985): .16*. 3) With imageability: .26*</t>
  </si>
  <si>
    <t>The validity of the ratings was established through Pearson's r correlations 1) with subfreq in previus norms in French; 2) with several measures of objective frequency, 3) with imageability.</t>
  </si>
  <si>
    <t>Imageability</t>
  </si>
  <si>
    <t>https://static-content.springer.com/esm/art%3A10.3758%2FBRM.41.2.546/MediaObjects/Desrochers-BRM-2009.zip</t>
  </si>
  <si>
    <t>2011_Schröder_BRM</t>
  </si>
  <si>
    <t>10.3758/s13428-011-0164-y</t>
  </si>
  <si>
    <t>German</t>
  </si>
  <si>
    <t>11 semantic categories (animals, birds, fruits, vegetables, clothing, furniture, vehicles, tools, musical instruments, professions, and sports). Items from the 11 semantic categories were distributed equally across the three lists. Items in each list (and within each category) did not differ in terms of typicality.</t>
  </si>
  <si>
    <t>1 (very unfamiliar) to 5 (very familiar).</t>
  </si>
  <si>
    <t>Conceptual familiarity: From Snodgrass and Vanderwart (1980): In the following, you will see a list of different items (objects, sports, professions). Please try to judge the “familiarity” of each item—that is, the degree to which you come in contact with or think about the concept in your daily life. Please use the following 5-point scale in order to judge how familiar or common—or unfamiliar or uncommon—an object, kind of sport, or profession is for you. Please note that you should judge the familiarity of each item individually. Please also note that you don’t judge whether you have yet encountered a specific word, but the familiarity of the concept itself. Don’t think too long about an answer, but try to judge as quickly as possible whether the mentioned objects, sports, or professions are more or less familiar to you. Please try to use the whole scale from 1 to 5, where 1 = not familiar, 2 = a little familiar, 3 = moderately familiar, 4 = very familiar, and 5 = highly familiar.</t>
  </si>
  <si>
    <t>Snodgrass, J. G., &amp; Vanderwart, M. (1980). A standardized set of 260 pictures: norms for name agreement, image agreement, familiarity, and visual complexity. Journal of experimental psychology: Human learning and memory, 6(2), 174.</t>
  </si>
  <si>
    <t>Items judged as unfamiliar by 25% (5/20) or more of the ss were removed from the item set (n = 8 items). None of the items remaining in the item set showed high variability in judgments (SD &gt; ±2).</t>
  </si>
  <si>
    <t>1) r = .79</t>
  </si>
  <si>
    <t>1) split-half correlation (no correction w/Spearman-Brown formula, as the authors said by email)</t>
  </si>
  <si>
    <t>1) German (Genzel et al., 1995%): .85, American (Snodgrass &amp; Vanderwart, 1980): .66, Britihis English (Morrison et al., 1997): .72, French (Alario &amp; Ferrand, 1999): .73, Icelandic (Pind et al., 2000): .64, Italian (Dell’Acqua et al., 2000): -.71, Japanese (Nashimoto et a., 2005): .66, Spanish (Sanfeliu &amp; Fernandez, 1996): .58, Spanish (Izura et al., 2005): .58, Spanish (Argentinean)(Nanoiloff et al., 2010): .67, Russian (Tsaparina et al., 2011): .81; 2) typicality: r-.59, AoA: -.58, Objective frequency: .44; r=-.25 n phonemes; r= .-20 num syllables.</t>
  </si>
  <si>
    <t xml:space="preserve"> 1) cross-language correlations; 2) Correlations with other variables</t>
  </si>
  <si>
    <t>category exemplars, typicality, AoA, objective frequency, number of phonemes, number of syllables</t>
  </si>
  <si>
    <t>https://static-content.springer.com/esm/art%3A10.3758%2Fs13428-011-0164-y/MediaObjects/13428_2011_164_MOESM1_ESM.xls</t>
  </si>
  <si>
    <t>2016_Sianipar_FrontPsychol</t>
  </si>
  <si>
    <t>10.3389/fpsyg.2016.01907</t>
  </si>
  <si>
    <t>Indonesian</t>
  </si>
  <si>
    <t>1,490 Indonesian words, of which 637 words were translations of English words in ANEW</t>
  </si>
  <si>
    <t>min 61-max 87</t>
  </si>
  <si>
    <t>1 (very rare) - 9 (very frequently)</t>
  </si>
  <si>
    <t xml:space="preserve">Please first read the following items before starting. In every word, you will see a scale on the right side of the word. This scale starts from a very rare (left) to very often (right). You are required to read each word and then give your judgment about it by clicking one of the circles corresponding to the scale provided. On the far left circle, you found the word very rarely be found in everyday life. On the far right circle, you found the word very often be found in everyday life. To what extent do you encounter each of the following words in daily life? very rarely very frequently 1 2 3 4 5 6 7 8 9 </t>
  </si>
  <si>
    <t>r = 0.97 to r = 0.99</t>
  </si>
  <si>
    <t>1) split-half correlation corrected w/Spearman-Brown formula (no info on number of randomizations but I guess there are because they write the range of the correlations</t>
  </si>
  <si>
    <t>1)  r = 0.28 w/valence, no arousal; 2) r = 0.43</t>
  </si>
  <si>
    <t>1) correlation w/other variables; 2) correlation btwn genders</t>
  </si>
  <si>
    <t>Valence, Arousal, Dominance, Predictability, and Concreteness</t>
  </si>
  <si>
    <t>http://journal.frontiersin.org/article/10.3389/fpsyg.2016.01907/full#supplementary-material</t>
  </si>
  <si>
    <t>checked Giada</t>
  </si>
  <si>
    <t>2021_Borelli_PLOSONE</t>
  </si>
  <si>
    <t>10.1371/journal.pone.0248755</t>
  </si>
  <si>
    <t>Italian</t>
  </si>
  <si>
    <t>Pain-related words (adjectives, nouns, verbs)</t>
  </si>
  <si>
    <t>The words express physical (75) and social (19) pain and were selected by clinicians as frequently used in doctor-patient communication in oncology.</t>
  </si>
  <si>
    <t>173 Cancer patients, 124 healthy controls</t>
  </si>
  <si>
    <t>1 = Not at all familiar; 7 = Extremely familiar</t>
  </si>
  <si>
    <t>Among the words we use, listen, and read, there are words that we encounter very often (extremely familiar) and other words that we almost never encounter (not at all familiar). For each of the following words, rate how familiar you are with them on a scale ranging from 1 (not at all familiar) to 7 (extremely familiar).</t>
  </si>
  <si>
    <t>Participants' data were excluded if they had more than 30% of "I don't know" responses or more than 30% of missing responses. This led to the exclusion of 17 patients. No control participants were excluded.</t>
  </si>
  <si>
    <t>1) Type of pain x Group interaction: Post-hoc Bonferroni tests (Fig 2) showed that patients rated social pain words as significantly more familiar than controls. 2)The multiple linear regression analyses
with symptom burden, needs, spirituality, hope, and demographical variables (age and education) as predictors, revealed that the model significantly predicted patients’ pain words
ratings for Familiarity [F(7, 126) = 28.459, p &lt; .001, R2 = .61], with Age and Education as significant predictors (B = - .03, p = .006; B = .25, p &lt; .001, respectively).</t>
  </si>
  <si>
    <t>The study investigates group differences (patients vs. controls) using a three-way mixed ANOVA and explores correlates of the ratings in the patient group using multiple regression analyses.</t>
  </si>
  <si>
    <t>Valence, Arousal, Pain-relatedness, Intensity, Unpleasantness</t>
  </si>
  <si>
    <t xml:space="preserve">email to  eleonora.borelli@unimore.it </t>
  </si>
  <si>
    <t>22/08/2025 sent email for the database - never replied</t>
  </si>
  <si>
    <t>not enough information</t>
  </si>
  <si>
    <t>2013_Montefinese_BRM</t>
  </si>
  <si>
    <t>10.3758/s13428-012-0263-4</t>
  </si>
  <si>
    <t>The 120 concepts were artifactual and natural basic-level concepts, selected as the 12 best exemplars from 10 empirically derived semantic categories.</t>
  </si>
  <si>
    <t>Community sample, students</t>
  </si>
  <si>
    <t>10-point</t>
  </si>
  <si>
    <t>1 = not familiar at all; 10 = extremely familiar</t>
  </si>
  <si>
    <t>"How familiar are you with the thing the word refers to?"</t>
  </si>
  <si>
    <t>No data cleaning procedures were reported for the familiarity rating data. The initial stimulus selection involved extensive screening, but not for the final rating task.</t>
  </si>
  <si>
    <t>.93</t>
  </si>
  <si>
    <t>split-half correlations corrected with the Spearman–Brown formula after randomly dividing participants into two subgroups of equal size. This reliability index was calculated on 10,000 different randomizations of the participants</t>
  </si>
  <si>
    <t>High correlation with other familiarity norms: Della Rosa et al. (2010), r = .86; McRae et al. (2005), r = .69. High correlation with typicality (r = .77).</t>
  </si>
  <si>
    <t>Convergent validity was assessed by calculating Pearson correlations with existing concept familiarity norms (from Della Rosa et al., 2010 and McRae et al., 2005) and with typicality ratings collected in the same study.</t>
  </si>
  <si>
    <t>Feature production norms (including measures of dominance, accessibility, distinctiveness, relevance, etc.), Typicality ratings, Exemplar generation measures (dominance, mean rank, etc.), Word frequency, Length (letters, syllables).</t>
  </si>
  <si>
    <r>
      <rPr>
        <rFont val="Calibri, sans-serif"/>
        <color rgb="FF000000"/>
        <sz val="10.0"/>
      </rPr>
      <t xml:space="preserve">https://osf.io/crzsh, The database is available as electronic supplementary material on the journal's website: </t>
    </r>
    <r>
      <rPr>
        <rFont val="Calibri, sans-serif"/>
        <color rgb="FF1155CC"/>
        <sz val="10.0"/>
        <u/>
      </rPr>
      <t>https://static-content.springer.com/esm/art%3A10.3758%2Fs13428-012-0291-0/MediaObjects/13428_2012_291_MOESM3_ESM.xls</t>
    </r>
  </si>
  <si>
    <t>2024_Falcinellli_Collabra</t>
  </si>
  <si>
    <t>10.1525/collabra.120327</t>
  </si>
  <si>
    <t>The stimuli pertained to four categories: Ecological, Technological, Natural, and Geographical/Geopolitical concepts (50 words each).</t>
  </si>
  <si>
    <t>The total study sample was 340 Italian native speakers (225 females, 113 males, 2 intersex), with a wide age range. The full sample was divided into independent groups of 20 participants for each of the 17 surveys, each survey covering a subset of the total 39 dimensions.</t>
  </si>
  <si>
    <t>1 = “not at all” to 7 = “very much”</t>
  </si>
  <si>
    <t>In our study, we collected a subjective measure of word frequency by asking participants to estimate the frequency of use in written and spoken language of each target word</t>
  </si>
  <si>
    <t>Subjects: Out of 533 participants contacted, 193 were excluded. 165 did not complete the survey. 28 were excluded for using the same response option for over 85% of items. Attentional checks were also used.</t>
  </si>
  <si>
    <t>Cronbach’s alpha for all dimensions ranged from .90 to 1.00.</t>
  </si>
  <si>
    <t>The interrater reliability was estimated by calculating Cronbach's alpha for each pool of 20 participants for each semantic dimension.</t>
  </si>
  <si>
    <t>The study assesses validity by comparing its new categories (Ecological, Technological) with traditional Abstract and Concrete concepts on multiple dimensions, and finds that the patterns of results are consistent with theoretical expectations from the literature on conceptual organization.</t>
  </si>
  <si>
    <t>The validity of the new norms was investigated by using them to compare the conceptual structure of the new word categories (Ecological, Technological) against Abstract and Concrete concepts on a wide range of semantic dimensions, showing theoretically coherent patterns.</t>
  </si>
  <si>
    <t>A total of 39 semantic dimensions were collected, including: Concreteness~Abstractness, Age and Modality of Acquisition, Imageability, Interoception, Context Availability, Perceptual Strength, Action Effectors (Mouth, Hand, Feet/Legs, Torso), Social Metacognition, Social Valence, Emotionality, Metacognition, Frequency, and others.</t>
  </si>
  <si>
    <t>https://doi.org/10.17605/OSF.IO/M6PH9</t>
  </si>
  <si>
    <t>https://osf.io/5rk9s</t>
  </si>
  <si>
    <t>Check da Irene con commenti</t>
  </si>
  <si>
    <t>2010_DellaRosa_BRM</t>
  </si>
  <si>
    <t>10.3758/BRM.42.4.1042</t>
  </si>
  <si>
    <t>The stimuli consisted of 210 concrete and 207 abstract nouns, including 70 emotion words. These were the Italian translation equivalents of a subset of English words from the MRC database.</t>
  </si>
  <si>
    <t>Each word was rated by an average of 35 people.</t>
  </si>
  <si>
    <t>1 indicated unfamiliar and 7 indicated familiar</t>
  </si>
  <si>
    <t>doesnt' work:  www.abstract-project.eu. The paper mentions that the instructions for familiarity were based on those used by previous investigators (e.g., Friendly et al., 1982; Gilhooly &amp; Logie, 1980), where higher numbers indicate greater familiarity.</t>
  </si>
  <si>
    <t>Participants' data were discarded for using the same response for more than 85% of the total responses for each list or for having scores more than 3 standard deviations away from the group's average for each item.</t>
  </si>
  <si>
    <t>The correlation with the English translation equivalents in the MRC database for familiarity was r = .68.</t>
  </si>
  <si>
    <t>The reliability of the norms was confirmed by calculating Pearson's r correlations with measures for the English translation equivalents in the MRC database (Coltheart, 1981).</t>
  </si>
  <si>
    <t xml:space="preserve">1) Mode of Acquisition (r = -.62), 2) MRC = .68 </t>
  </si>
  <si>
    <t>1) Pearson correlations between familiarity and mode of acquisition; 2) Pearson correlation with the English familiarity (MRC database)</t>
  </si>
  <si>
    <t>Mode of acquisition (MoA), age of acquisition (AoA), concreteness, context availability, imageability, and abstractness.</t>
  </si>
  <si>
    <t>https://static-content.springer.com/esm/art%3A10.3758%2FBRM.42.4.1042/MediaObjects/DellaRosa-BRM-2010.zip</t>
  </si>
  <si>
    <t>Check da Irene con un commento su i valori della validità riportati</t>
  </si>
  <si>
    <t>2018_Borelli_PLOSONE</t>
  </si>
  <si>
    <t>10.1371/journal.pone.0199658</t>
  </si>
  <si>
    <t>Pain-related words (nouns, adjectives, and verbs)</t>
  </si>
  <si>
    <t>The stimuli were Italian words associated with physical and social pain, selected via a computational linguistic procedure and validated by clinicians. 48 of the words could refer to both physical and social pain.</t>
  </si>
  <si>
    <t>Students, researchers</t>
  </si>
  <si>
    <t>1 = not at all familiar; 7 = extremely familiar</t>
  </si>
  <si>
    <t>Among the words we use, hear, and read, some are ones we encounter very often (and are therefore extremely familiar), while others we encounter only rarely (and are therefore not familiar at all). For example, the word BICCHIERE is very familiar, whereas the word BALESTRA is not very familiar because it is rarely encountered. For each of the following words, rate how familiar it is to you on a scale from 1 (not familiar at all) to 7 (extremely familiar).</t>
  </si>
  <si>
    <t>Data were cleaned in a two-step process: (1) exclusion of participants showing little or no variance in their responses; (2) identification and exclusion of outliers using the procedure from Rodriguez and Laio (2012), which models participants as points in an N-dimensional space. This procedure was applied separately for each variable and led to the exclusion of
 8.8% data points for Familiarity.</t>
  </si>
  <si>
    <t>The mean split-half correlation over 1,000 random replicates was r = .91.</t>
  </si>
  <si>
    <t>The reliability for each variable was computed by calculating the average split-half correlation over 1,000 random replicates for each of the 20 questionnaires.</t>
  </si>
  <si>
    <t>1) The familiarity ratings were significantly correlated with those from the Italian ANEW database by Montefinese et al. (2014) on a set of 76 shared words (Pearson's r = .604). 2) High positive correlations (and not significant difference) between the ratings of female and male participants: r = .884.</t>
  </si>
  <si>
    <t>Validity was assessed by computing Pearson's correlations between the collected ratings and the norms from a previously published and validated dataset (the Italian ANEW). T-tests and Pearson's correlations between males and females.</t>
  </si>
  <si>
    <t>Age of Acquisition, Imageability, Concreteness, Context Availability, Valence, Arousal, Pain-Relatedness, Intensity, Unpleasantness, Length, Written Frequency (Zipf), N-Size, Orthographic Levenshtein Distance 20, Neighbor Mean Frequency,
and Neighbor Maximum Frequency</t>
  </si>
  <si>
    <r>
      <rPr>
        <rFont val="Calibri, sans-serif"/>
        <color rgb="FF1155CC"/>
        <sz val="10.0"/>
        <u/>
      </rPr>
      <t>https://figshare.com/s/188257a8c7de933ba28a</t>
    </r>
    <r>
      <rPr>
        <rFont val="Calibri, sans-serif"/>
        <color rgb="FF000000"/>
        <sz val="10.0"/>
        <u/>
      </rPr>
      <t>.</t>
    </r>
  </si>
  <si>
    <t>2019_Morucci_JCogn</t>
  </si>
  <si>
    <t>10.5334/joc.88</t>
  </si>
  <si>
    <t>Adjectives (property words)</t>
  </si>
  <si>
    <t>The words were chosen to refer to one of the five perceptual modalities or to be abstract.</t>
  </si>
  <si>
    <t>native Italian speakers aged 19 to 68 years recruited online</t>
  </si>
  <si>
    <t>20-21</t>
  </si>
  <si>
    <t>1 = not at all familiar/frequent; 7 = extremely familiar/frequent</t>
  </si>
  <si>
    <t>instructions were based on Gernsbacher (1984). Participants were asked to rate the words according to their frequency of occurrence in everyday life.</t>
  </si>
  <si>
    <t>Gernsbacher, M. A. (1984). Resolving 20 years of inconsistent interactions between lexical familiarity and orthography, concreteness, and polysemy. Journal of experimental psychology: General, 113(2), 256.</t>
  </si>
  <si>
    <t>Participants with unrelabile responses were removed, i.e., who completed less than 60% of the survey (1 for familiarity). Additional unreliable participants were captured through the clustering procedure illustrated in Rodriguez and Laio (2014) (5 for familiarity).</t>
  </si>
  <si>
    <t xml:space="preserve">Split-half correlation median &gt; 0.80. </t>
  </si>
  <si>
    <t>Split-half correlations were computed over 1,000 random replicates. External reliability was assessed by comparing the ratings with those from a previous Italian dataset.</t>
  </si>
  <si>
    <t>1) Correlations with the among variables within the database: vision (.13*), audition (.06), touch (.14*), olfaction (-.04), taste (.07), maximal perceptual strength (-.06), summed perceptual strengths (.19*), entropy (.2*), modality exclusivity (-.21*), length (-.23*), contextual diversity (.4*), sutlex-IT frequency (.79*), Neighborhood Size (.38*), Orthographic Levenshtein Distance 20 (OLD20) (-.42*), AoA (-.66*), contextual availability (.85*). 2) Correlation with Borelli et al. (2018). The correlation with existing norms for 37 shared words from Borelli et al. (2018) was r = 0.92.</t>
  </si>
  <si>
    <t>A full correlation matrix is provided (Table 2 in the paper) showing the relationships between familiarity and perceptual strength variables as well as other lexical-semantic indexes (e.g., AoA, CA, Zipf frequency, N, OLD20). 2) Correlation with Borelli et al. (2018).</t>
  </si>
  <si>
    <t>Perceptual strength (vision, audition, touch, taste, smell) and Age of Acquisition (AoA), Contextual Availability (CA), Zipf Frequency, Orthographic Neighborhood Size (N), and Orthographic Levenshtein Distance 20 (OLD20).</t>
  </si>
  <si>
    <t>https://osf.io/s8gv9/</t>
  </si>
  <si>
    <t>2014_Montefinese_BRM</t>
  </si>
  <si>
    <t>10.3758/s13428-013-0405-3</t>
  </si>
  <si>
    <t>Affective words (nouns, adjectives, verbs)</t>
  </si>
  <si>
    <t>The database was developed from translations of the 1,034 English words in the ANEW (Bradley &amp; Lang, 1999) and from 87 words taken from Italian semantic norms.</t>
  </si>
  <si>
    <t>1 = unfamiliar; 9 = highly familiar.</t>
  </si>
  <si>
    <t>we ask you to estimate how frequently a given word occurs in everyday language, whether in written or spoken form. Specifically, you should indicate on a scale from 1 (unfamiliar) to 9 (highly familiar) how often you personally use the word in your own speech, how often you hear others use it in conversation, and how often you read or write the word yourself.</t>
  </si>
  <si>
    <t>No information about the removal of outlier subjects or stimuli is mentioned.</t>
  </si>
  <si>
    <t>Split-half correlation r &gt; .84</t>
  </si>
  <si>
    <t>The consistency of the data was evaluated by applying split-half correlations corrected with the Spearman-Brown formula after randomly dividing the participants into two subgroups 1,000 times.</t>
  </si>
  <si>
    <t>1) Pearson's r with Spanish (Redondo et al,, 2007): r: .504*, English (Eilola &amp; Havelka, 2010): r= .508*,  Finnish (Eilola &amp; Havelka, 2010): r=.547*, English (Janschewitz, 2008): r=.299*. 2). Partial correlation was significant after the Bonferroni correction showed only a significant correlations with dominance (r = .105).</t>
  </si>
  <si>
    <t>The validity of the norms was confirmed by calculating 1) Pearson correlations with other across various languages. 2) Partial correlation was significant after the Bonferroni correction with the other measures within the database .</t>
  </si>
  <si>
    <t>Valence, arousal, dominance, imageability, concreteness, and six objective psycholinguistic indexes (i.e., word class, word frequency (Colfis and Repubblica), number of letters, number of orthographic neighbors, mean written frequency of use of the orthographic neighbors).</t>
  </si>
  <si>
    <t>https://osf.io/eu7a3/</t>
  </si>
  <si>
    <t>2025_Borsa_BrainSci</t>
  </si>
  <si>
    <t>10.3390/brainsci15030222</t>
  </si>
  <si>
    <t>The stimulus set included 807 abstract nouns from eight a priori categories and 157 concrete nouns that were used as fillers to ensure the presence of extremes on the rating scales.</t>
  </si>
  <si>
    <t>healthy young participants (363 females; mean age: 24.89; mean years of education: 16.89).</t>
  </si>
  <si>
    <t>min 20 participants (range = 20–27).</t>
  </si>
  <si>
    <t>1 = very unfamiliar</t>
  </si>
  <si>
    <t>Instructions were taken from Della Rosa et al. (2010).</t>
  </si>
  <si>
    <t>Della Rosa, P. A., Catricalà, E., Vigliocco, G., &amp; Cappa, S. F. (2010). Beyond the abstract—concrete dichotomy: Mode of acquisition, concreteness, imageability, familiarity, age of acquisition, context availability, and abstractness norms for a set of 417 Italian words. Behavior research methods, 42(4), 1042-1048.</t>
  </si>
  <si>
    <t>Participants who failed to follow instructions, completed less than 85% of ratings, provided random answers, or used the same Likert scale value for more than 85% of responses were excluded (23 participants). Additionally, individual responses greater than 3 standard deviations from the item mean were excluded (less than 2% of data per dimension).</t>
  </si>
  <si>
    <t>Cronbach's alpha = 0.86.</t>
  </si>
  <si>
    <t>Inter-rater reliability was assessed by calculating Cronbach's alpha for each dimension.</t>
  </si>
  <si>
    <t>Pearson’s correlation: introspective=.251*, mental state=.219*, quantitative=-.037, spatial=.003, social= .235*, moral=.104*, theoretical=-.440*, economic=-.118*, concreteness=.068, imageability=.253*, AoA=-.729*, valence=-.265*, arousal=.087*, semantic diversity=.403*</t>
  </si>
  <si>
    <t>The relationships between familiarity and all other collected variables (psycholinguistic and semantic) were examined through correlational analyses.</t>
  </si>
  <si>
    <t>Concreteness, imageability, age of acquisition, semantic diversity, valence, arousal, introspective, mental state, quantitative, spatial, social, moral, theoretical, and economic dimensions.</t>
  </si>
  <si>
    <r>
      <rPr>
        <rFont val="Calibri, sans-serif"/>
        <color rgb="FF1155CC"/>
        <sz val="10.0"/>
        <u/>
      </rPr>
      <t>https://osf.io/6xyun/?view_only=062f49f57f9f4a6f8c73aab672c86dd2</t>
    </r>
  </si>
  <si>
    <t>2007_Amano_BRM</t>
  </si>
  <si>
    <t>10.3758/BF03192997</t>
  </si>
  <si>
    <t>Japanese</t>
  </si>
  <si>
    <t>the study compared two sets of familiarity ratings: one from 1995 collected in Kanto and another from 2002 collected in Kinki. The words were selected as common entries from a Japanese dictionary.</t>
  </si>
  <si>
    <t>Participants had a mean age of 23.1 years and were living in the Kinki region of Japan with a high school education and had better than average language ability.</t>
  </si>
  <si>
    <t>34 (after postselection).</t>
  </si>
  <si>
    <t>1 = most unfamiliar; 7 = most familiar.</t>
  </si>
  <si>
    <t>Participants were instructed to judge the familiarity of each presented word. No labels or categories were assigned to the scale points.</t>
  </si>
  <si>
    <t>Subjects: Preselection of participants based on language ability scores. Postselection of participants based on a test-retest reliability criterion (correlation &gt; .5). 6 out of 40 participants were excluded in the 2002 study. Ratings: No trimming of ratings was mentioned</t>
  </si>
  <si>
    <t>1) r = .958.; 2) r=.949, 3)  r &gt; .5 was used to filter participants</t>
  </si>
  <si>
    <t>1) Test-Retest Reliability (across years and places) for mean word ratings; 2) Split-Half Reliability (Internal Consistency) for participant ratings, 3) Participant-Level Test-Retest Reliability (for individual participants' consistency)</t>
  </si>
  <si>
    <t>r = .691</t>
  </si>
  <si>
    <t>Convergent Validity (with Objective Frequency) thorugh Pearson's correlation</t>
  </si>
  <si>
    <t>The 1995 word-familiarity database was published by Amano &amp; Kondo (1999). The new extended database (Lexical Properties of Japanese, Volume 9) is mentioned to be published on a CD-ROM.</t>
  </si>
  <si>
    <t>2024_Mahjoubnavaz_JPsycholinguistRes</t>
  </si>
  <si>
    <t>10.1007/s10936-024-10104-6</t>
  </si>
  <si>
    <t>Persian</t>
  </si>
  <si>
    <t xml:space="preserve">words were selected from a previous English dataset (Warriner et al. in Behav Res Methods 45(4):1191–1207, 2013). Those that could also function as adjectives were not included. </t>
  </si>
  <si>
    <t xml:space="preserve">general population (recuited thorugh social media platforms) </t>
  </si>
  <si>
    <t>min 50</t>
  </si>
  <si>
    <t>Only information: the highest value corresponds to being words that are completely familiar.</t>
  </si>
  <si>
    <t>Data of participants with more than 5% missing responses were excluded from further analyses, resulting in a total of 463 participants. Additionally, responses that deviated by more than three standard deviations (SD) from the mean were considered outliers and excluded from further analysis. It is important to note that if a participant had an outlier response in one dimension, the ratings of other dimensions for the word were not removed.</t>
  </si>
  <si>
    <t>r = 0.95</t>
  </si>
  <si>
    <t>Split-half correlations corrected with the Spearman-Brown formula</t>
  </si>
  <si>
    <t xml:space="preserve">r= .19 for animacy, r=.45 for valence, r= .47 for arousal </t>
  </si>
  <si>
    <t>Person's correlation with the other measures in the database</t>
  </si>
  <si>
    <t>arousal, valence, animacy</t>
  </si>
  <si>
    <t>https://www.scidb.cn/en/s/ZfuIJn</t>
  </si>
  <si>
    <t>English translations</t>
  </si>
  <si>
    <t>email x instructions</t>
  </si>
  <si>
    <t>2021_de Lima_SAGEOpen</t>
  </si>
  <si>
    <t>10.1177/2158244020988524</t>
  </si>
  <si>
    <t>Portuguese</t>
  </si>
  <si>
    <t>selected and adapted from Nelson and Dunlosky’s (1994) norms (exp in lab al computer)</t>
  </si>
  <si>
    <t xml:space="preserve"> 1 (I never saw/heard that word) to 7 (I see/hear that word almost daily)</t>
  </si>
  <si>
    <t xml:space="preserve">Out of the five participants excluded via inventories, two were excluded because they showed strong signs of depression (scores 32 [moderate] and 53 [severe] on the Beck Depression Inventory, which ranges from 0 to 63) and three were excluded because they showed strong signs of anxiety (scores 38 and 43 [state anxiety] and 40 [trait anxiety] in the State–Trace Anxiety inventory, which ranges from 20 to 80, with lower scores representing higher levels of state/trait anxiety). </t>
  </si>
  <si>
    <t>1) r=.95, 2) alpha=.98</t>
  </si>
  <si>
    <t>1) Correlation between lab and online data collection, 2) Cronbach’s alpha</t>
  </si>
  <si>
    <t>concreteness: 0.5, valence: .42*, arousal: -.26*, wordlikeness: -.006, occurrence frequency: .60*, Swaili word length: -.02, Portuguese word length: -.30*, Recall accuracy, Trial 1: .11, Recall accuracy, Trial 2: .25*, Recall accuracy, Trial 3: .28*</t>
  </si>
  <si>
    <t>Pearson's correlation with the other measures in the database</t>
  </si>
  <si>
    <t>concreteness, valence, arousal, wordlikeness, occurrence frequency, Swahili word length, Portuguese word length, recall accuracy</t>
  </si>
  <si>
    <t>https://osf.io/ucx7h/</t>
  </si>
  <si>
    <t>2017_Soares_BRM</t>
  </si>
  <si>
    <t>10.3758/s13428-016-0767-4</t>
  </si>
  <si>
    <t>Words (nouns, adjectives, verbs, adverbs, interjections)</t>
  </si>
  <si>
    <t>Language variant: European Portuguese. Stimuli were content words selected from the Procura PALavras (P-PAL) database to cover a range of frequencies and lengths.</t>
  </si>
  <si>
    <t>42 to 77 (mean = 56.7)</t>
  </si>
  <si>
    <t>1 = words that they had never encountered before; 7 = words they encountered several times a day.</t>
  </si>
  <si>
    <t xml:space="preserve">The number of times we come across a given word in our daily life varies from word to word. While we encounter or use some words frequently, there are others that appear only rarely.  In this study, we ask you to evaluate how often you believe you come into contact with a given word—that is, the approximate number of times you read, use, or hear it in your daily routine. A word that is used or encountered very often should be rated with a high frequency score, while words you rarely encounter, or have never encountered, should be rated with a low score.  The ratings should be given on a seven-point scale, where 1 corresponds to words you’ve never used or encountered, and 7 to words you use or encounter several times a day. Between these two extremes are other values that can better reflect your estimate of how often you come into contact with a given word.    </t>
  </si>
  <si>
    <t>Subjects: Participants who did not answer more than 33% of the items or who showed nondiscriminative/random response patterns were excluded. Ratings: Ratings from participants who indicated they did not know a word were excluded. Any ratings 2.5 SDs above or below the item mean were also eliminated as outliers.</t>
  </si>
  <si>
    <t>The paper reports a correlation of r = .71 with the subjective frequency norms from Balota et al. (2001) for 927 common words, and states this value is indicative of reliability and validity.</t>
  </si>
  <si>
    <t>The reliability and validity of the norms were primarily established through correlations with national and international databases containing the same and other subjective variables.</t>
  </si>
  <si>
    <t>The subjective frequency ratings correlated significantly with national and international norms for subjective frequency (r = .71), familiarity (r = .62 and r = -.50), and AoA (r ranges from -.35 to -.65). It also correlated significantly with valence, arousal, and dominance.</t>
  </si>
  <si>
    <t>Cross-validation was a key method for assessing validity, comparing the MWP ratings with those from other Portuguese and international (English) databases on the same and related constructs.</t>
  </si>
  <si>
    <t>Imageability, concreteness, and a comprehensive set of objective lexical and sublexical measures from the P-PAL database (e.g., word length, syllable number, objective frequency, neighborhood size, etc.). The paper also reports correlations with AoA and affective norms from other Portuguese databases.</t>
  </si>
  <si>
    <t>https://static-content.springer.com/esm/art%3A10.3758%2Fs13428-016-0767-4/MediaObjects/13428_2016_767_MOESM1_ESM.xlsx</t>
  </si>
  <si>
    <t>2018_Miklashevsky_JPsycholinguistRes</t>
  </si>
  <si>
    <t>10.1007/s10936-017-9548-1</t>
  </si>
  <si>
    <t>Russian</t>
  </si>
  <si>
    <t>The stimuli included a mix of concrete nouns from various categories (e.g., animals, tools, food) and a number of abstract nouns.</t>
  </si>
  <si>
    <t>22 to 37 (mean = 29.4)</t>
  </si>
  <si>
    <t>1 = "very seldom"; 7 = "very often"</t>
  </si>
  <si>
    <t>Please estimate how often you meet with every word by using a scale from 1 to 7, where 1 is ‘very seldom’, and 7 is ‘very often</t>
  </si>
  <si>
    <t>Participants who were not native Russian speakers were excluded. Questionnaires with response patterns (e.g., 1, 2, 3, 1, 2, 3) or a single repeated value were also excluded.</t>
  </si>
  <si>
    <t>Cronbach's Alpha = from .84 to .97 for all measures (not specified the one for sFreq)</t>
  </si>
  <si>
    <t>Cronbach's alpha was calculated for the entire set of ratings on the subjective frequency scale.</t>
  </si>
  <si>
    <t>Correlation  with length: -.029, objective frequency: .660*, visual modality: -.181*, auditory modality: .042, olfactory modality: .043, gustatory modality: .085, haptic modality: -.059, AoA: -.311*,  imageability: -.256*, manipulability: -.1, spatial localization: .243*</t>
  </si>
  <si>
    <t>Full correlation matrix (Pearson's r with Holm-Bonferroni correction) of the subjective frequency ratings with all other collected variables, including modality ratings and traditional psycholinguistic measures.</t>
  </si>
  <si>
    <t>Modality ratings (visual, auditory, haptic, olfactory, gustatory), vertical spatial localization, manipulability, imageability, age of acquisition (AoA), word length, and objective word frequency, gender</t>
  </si>
  <si>
    <t>https://static-content.springer.com/esm/art%3A10.1007%2Fs10936-017-9548-1/MediaObjects/10936_2017_9548_MOESM1_ESM.xlsx</t>
  </si>
  <si>
    <t>2010_Desrochers_BRM</t>
  </si>
  <si>
    <t>10.3758/BRM.42.1.109</t>
  </si>
  <si>
    <t>Spanish</t>
  </si>
  <si>
    <t xml:space="preserve">The list includes 124 deverbal compounds, 102 nouns, and 104 verbs. The nouns and verbs were the constituents of the compounds.	</t>
  </si>
  <si>
    <t>1 = "poco frecuente" (very infrequent); 7 = "muy frecuente" (very frequent).</t>
  </si>
  <si>
    <t>The verbatim instructions were adapted into Spanish from those used by Denis (1975).</t>
  </si>
  <si>
    <t>Denis, M. (1975). Représentation imagée et activité de mémorisation [Imagery representation and memory processes]. Paris: Centre National de la Recherche Scientifique.</t>
  </si>
  <si>
    <t>Participants with participant-group correlations below .40 were excluded.</t>
  </si>
  <si>
    <t>Internal consistency: Cronbach's alpha and Guttman split-half were .99 for the full set and for each word type separately. Test-retest reliability (by-items): r = .99 for the full set. For compound words,
r(26)= .99; for nouns, r(12)= .98; and for verbs, r(12)=.99.</t>
  </si>
  <si>
    <t>Internal consistency was assessed using Cronbach's alpha and Guttman split-half coefficients. Test-retest reliability was evaluated on a subset of 50 repeated items for both by-items and by-subjects analyses using Pearson's r.</t>
  </si>
  <si>
    <t xml:space="preserve">1) Convergent validity: The subjective frequency ratings correlated significantly with objective frequency (r = .65) and familiarity (r = .75) from the LEXESP database across all the stimuli.For compound words, with Obj freq: .37, with familiarity: .64, for nouns: with obj freq: .53, with familiarity: .76, for verbs: with obj frequency: .80, with familiarity: .84. 2) Construct validity: Compounds were significantly lower in subjective frequency than either their constituent nouns, the
subjective frequency of the compounds was not found to be significantly correlated either with noun subjective frequency [r(122)= .09, p=.35] or with verb frequency [r(124)= .15, p= .10].
</t>
  </si>
  <si>
    <t>Convergent validity was established by calculating Pearson's r correlations between the mean subjective frequency ratings and objective frequency and familiarity norms from the LEXESP database (Sebastián-Gallés et al., 2000). 2) Construct validity:
the relationship between compound words and their verbal
and noun constituents are investigated</t>
  </si>
  <si>
    <t>objective frequency and word length</t>
  </si>
  <si>
    <t>https://static-content.springer.com/esm/art%3A10.3758%2FBRM.42.1.109/MediaObjects/Desrochers-BRM-2010.zip</t>
  </si>
  <si>
    <t>2015_Moldovan_BRM</t>
  </si>
  <si>
    <t>10.3758/s13428-014-0501-z</t>
  </si>
  <si>
    <t xml:space="preserve">The new values of familiarity derived from the present norms are for 372 nouns (but the total number of stimuli is 555: the rest of the values have been derived from the Spanish
EsPal; Duchon, Perea, Sebastián-Gallés, Martí, &amp;
Carreiras, 2013). The words are organized in triplets consisting of a target word and two semantically related words (one more similar, one less similar in meaning). The stimuli are non-associatively related.        </t>
  </si>
  <si>
    <t>1 = not familiar at all; 7 = very familiar</t>
  </si>
  <si>
    <t xml:space="preserve"> You have to rate how often the word occurs in everyday language, both in the spoken and in the written form. You have to do your ratings by using a 1 to 7 scale. A score of 1 indicates that you rarely find the word in everyday language. Conversely, a score of 7 indicates that you find the word almost always in everyday language. You can use any of the intermediate values of the scale.</t>
  </si>
  <si>
    <t>Sánchez-Casas, R., Ferré, P., García-Albea, J. E., &amp; Guasch, M. (2006). The nature of semantic priming: Effects of the degree of semantic similarity between primes and targets in Spanish. European Journal of Cognitive Psychology, 18, 161–184.</t>
  </si>
  <si>
    <t>Familiarity ratings for the words did not correlate significantly with semantic similarity ratings (more similar pairs: r = .03; less similar pairs: r = .09).</t>
  </si>
  <si>
    <t>Validity was explored by calculating Pearson correlations between the familiarity ratings and the newly collected semantic similarity ratings.</t>
  </si>
  <si>
    <t>Concreteness, semantic similarity</t>
  </si>
  <si>
    <t>https://static-content.springer.com/esm/art%3A10.3758%2Fs13428-014-0501-z/MediaObjects/13428_2014_501_MOESM1_ESM.pdf</t>
  </si>
  <si>
    <t>2012_Ferré_BRM</t>
  </si>
  <si>
    <t>10.3758/s13428-011-0165-x</t>
  </si>
  <si>
    <t>The nouns belong to three different semantic categories: animals (119), people (124), and objects (137).</t>
  </si>
  <si>
    <t>approx 25</t>
  </si>
  <si>
    <t>1 = rarely find the word in everyday language; 7 = find the word in everyday language.</t>
  </si>
  <si>
    <t>instructions for familiarity were an adaptation of those used by Eilola and Havelka (2010): Your task is to rate the following words in terms of their
familiarity. You have to rate how often the word occurs in
everyday language, both in the spoken and in the written
form. For example, you may hear the word on conversations,
at the radio, on movies, at TV, or you may find it in a
written form in magazines, books, Internet, etc. You have to
do your ratings by using a 1 to 9 scale. A score of 1
indicates that you rarely find the word in everyday
language. Conversely, a score of 9 indicates that you find
the word almost always in everyday language. You can use
any of the intermediate values of the scale.</t>
  </si>
  <si>
    <t>Eilola, T. M., &amp; Havelka, J. (2010). Affective norms for 210 British English and Finnish nouns. Behavior Research Methods, 42(1), 134-140.</t>
  </si>
  <si>
    <t xml:space="preserve">Participants with negative personal correlation coefficients (comparing their data to the group mean) were excluded (3 participants). No word-level trimming was mentioned.	</t>
  </si>
  <si>
    <t>1) The authors performed a one-way ANOVA on familiarity ratings across valence categories, observing that positive and neutral words were rated as more familiar than negative words. Although this analysis provides limited construct validity evidence by showing theoretically plausible relationships between familiarity and affective valence, it does not directly validate the familiarity ratings themselves. In particular, familiarity is treated as a dependent variable rather than the construct under validation, and the observed effect size is small (ηp² = .04). Consequently, the analysis offers only weak support for the psychometric validity of the familiarity norms. 2) High arousal words are more frequent.</t>
  </si>
  <si>
    <t>1) A one-way ANOVA was performed on the familiarity ratings, with the words grouped into positive, negative, and neutral based on their valence scores, to check for theoretically expected differences. 2) T-test for high and low aroural words</t>
  </si>
  <si>
    <t>Valence, arousal, concreteness, objective frequency, and length.</t>
  </si>
  <si>
    <t>https://static-content.springer.com/esm/art%3A10.3758%2Fs13428-011-0165-x/MediaObjects/13428_2011_165_MOESM1_ESM.xls</t>
  </si>
  <si>
    <t>2005_Izura_BRM</t>
  </si>
  <si>
    <t>10.3758/BF03192708</t>
  </si>
  <si>
    <t>Stimuli were 100 words from each of five semantic categories: animals, body parts, furniture, clothing, and intelligence. The intelligence category was included to provide more abstract words.</t>
  </si>
  <si>
    <t>monolingual native Spanish speakers with a mean age of 20 years.</t>
  </si>
  <si>
    <t>1 = less than once a month; 7 = many times a day.</t>
  </si>
  <si>
    <t>The instructions were translated from those used in Snodgrass and Vanderwart (1980), asking participants to estimate the degree to which they thought about or came into contact with a concept.</t>
  </si>
  <si>
    <t>Split-half intergroup reliability was .92.</t>
  </si>
  <si>
    <t>The reliability was assessed using a split-half intergroup method</t>
  </si>
  <si>
    <t>The study reported a significant correlation of r = .89 with the concept familiarity norms from Cuetos et al. (1999) for 55 common words.</t>
  </si>
  <si>
    <t>Convergent validity was assessed by correlating the ratings for a subset of the words with existing norms for Spanish (Cuetos et al., 1999 for 55 common words).</t>
  </si>
  <si>
    <t>Lexical availability, age of acquisition, imageability, typicality, written word frequency, and word length in syllables.</t>
  </si>
  <si>
    <t>https://static-content.springer.com/esm/art%3A10.3758%2FBF03192708/MediaObjects/Izura-BRM-2005.zip</t>
  </si>
  <si>
    <t>2014_Moreno_BRM</t>
  </si>
  <si>
    <t>10.3758/s13428-013-0435-x</t>
  </si>
  <si>
    <t>The stimuli were drawn from 14 semantic categories (7 living, 7 nonliving) based on a prior exemplar generation study. Each word was presented along with its superordinate category.</t>
  </si>
  <si>
    <t>15-38</t>
  </si>
  <si>
    <t>1 = very unfamiliar; 5 = very familiar</t>
  </si>
  <si>
    <t>Your task will be to judge the “familiarity” of each word—that is, the degree to which you come in contact with or think about the concept in your daily life. Please use the following 5-point scale in order to judge how familiar or common—or unfamiliar or uncommon—an object is for you. A “1” means that this is a very unfamiliar object. A “5” means that this is a very familiar object.</t>
  </si>
  <si>
    <t>No information is provided about the removal of outlier participants or data points.</t>
  </si>
  <si>
    <t>Cronbach's Alpha = .98.</t>
  </si>
  <si>
    <t>Reliability was assessed by calculating Cronbach's alpha on the familiarity ratings.</t>
  </si>
  <si>
    <t>1) Correlations with other measures: fam vs manipulability (r= .38*), typicality (r = .85*), vs lexical frequency (r = .50*), 2) Correlations from familiarity of other 12 studies in several languages and stimuli: (r range= from -.50 to .87).</t>
  </si>
  <si>
    <t>1) Correlations with other measures, 2)Correlations from familiarity of other 12 studies in several languages and stimuli</t>
  </si>
  <si>
    <t>Age of acquisition, lexical frequency (from Internet and 3 other corpora), manipulability, typicality (rated and from fluency), word length, and number of syllables.</t>
  </si>
  <si>
    <t>https://static-content.springer.com/esm/art%3A10.3758%2Fs13428-013-0435-x/MediaObjects/13428_2013_435_MOESM1_ESM.xls</t>
  </si>
  <si>
    <t>2016_Hinojosa_BRM</t>
  </si>
  <si>
    <t>10.1371/journal.pone.0155866</t>
  </si>
  <si>
    <t>The words were from the Madrid Affective Database for Spanish (MADS) and were selected to be emotional.</t>
  </si>
  <si>
    <t>native Spanish speakers (mean age = 24.31 years).</t>
  </si>
  <si>
    <t>1 = almost never find that word in ordinary language; 9 = almost always find that word in ordinary language.</t>
  </si>
  <si>
    <t>The instructions were adapted by Ferré P, Guasch M, Moldovan C, Sánchez-Casas R (2012): you should consider how frequently you find these words in your day-to-day language, both in oral and written form. You should make your judgment using a scale from 1 to 9. A score of 1 means that you almost never find that word in ordinary language, while a score of 9 means that you almost always find that word in ordinary language.</t>
  </si>
  <si>
    <t>Ferré, P., Guasch, M., Moldovan, C., &amp; Sánchez-Casas, R. (2012). Affective norms for 380 Spanish words belonging to three different semantic categories. Behavior Research Methods, 44(2), 395-403.</t>
  </si>
  <si>
    <t>Split-half reliability (mean Pearson's r) = .94 (ranging from .93 to .96).</t>
  </si>
  <si>
    <t>Split-half intergroup procedure. Participants were randomly divided into two subgroups of equal size for each version of the questionnaire and the adjusted correlation between the scores was calculated using the Spearman-Brown formula.</t>
  </si>
  <si>
    <t>The study reported significant correlations with familiarity norms from previous Spanish studies (Ferré et al., 2012, r(134)=.77; EsPal, r(404)=.59). 2) Familiarity was also correlated with valence (r=.399*), dominance (r=.236*), happiness (r=.426*), anger (r=-.244*), sadness (r=-.232*), fear (r=-.241*), disgust (-.271*)</t>
  </si>
  <si>
    <t>Validity was established by computing Pearson's correlations between the collected familiarity ratings and 1) norms from other previously studies in Spanish. 2) Correlations with the affective variables in the database and discrete emotions derived from Hinojosa JA, Martínez-García N, Villalba-García C, Fernández-Folgueiras U, Sánchez-Carmona A,
Pozo MA, Montoro PR (2016)</t>
  </si>
  <si>
    <t>Dominance, subjective age of acquisition (AoA), sensory experience (SER)</t>
  </si>
  <si>
    <t>https://figshare.com/s/8e7b445b729527262c88?file=5212513</t>
  </si>
  <si>
    <t>2022_Sarli_BRM</t>
  </si>
  <si>
    <t>10.3758/s13428-021-01682-7</t>
  </si>
  <si>
    <t>The stimuli are the Rioplatense Spanish translations of the 1,034 English words from the ANEW database. Due to cultural and lexical differences, 202 words required translations different from the European Spanish version, and two were replaced.</t>
  </si>
  <si>
    <t>Students and general population</t>
  </si>
  <si>
    <t>at least 24 (min 23 after cleaning data)</t>
  </si>
  <si>
    <t>1 = very unfamiliar; 9 = very familiar</t>
  </si>
  <si>
    <t>Instructions are derived from Montefinese et al., 2014. Full instructions: For this scale, you are asked to indicate how often this word appears in your everyday life, whether spoken or written. If it is a word that you read or hear daily, several times a day, you should choose 9 (very familiar). If, on the other hand, it is a word that you rarely hear or read, you should choose 1 (not very familiar).</t>
  </si>
  <si>
    <t>Montefinese, M., Ambrosini, E., Fairfield, B., &amp; Mammarella, N. (2014). The adaptation of the affective norms for English words (ANEW) for Italian. Behavior research methods, 46(3), 887-903.</t>
  </si>
  <si>
    <t>12 participants were excluded for not meeting inclusion criteria. The paper mentions that unknown words could be left blank. No Explicit Mention of Outlier Removal or Statistical Data Cleaning.</t>
  </si>
  <si>
    <t>Inter-rater reliability: Mean Pearson's r from multiple iterations = .813. Internal consistency: Cronbach's alpha = .96.</t>
  </si>
  <si>
    <t>1) Split-sample (inter-group) Pearson's correlation (100 iterations); 2) Internal consistency across the booklets was assessed using Cronbach's alpha.</t>
  </si>
  <si>
    <t>1) Familiarity correlated significantly with Valence (r = .404*), Arousal (r=-.077*),  Dominance (r = .333*), Concreteness (r = .298*), Imageability (r = .484*), syllables (r=-.063*), letters (r=-.081*), and frequency (.176*). 2) Construct validity: - theoretical: familiarity higher for positive words (.404), consistent with prior literature (discussed by authors)</t>
  </si>
  <si>
    <t xml:space="preserve">1) Correlations between familiarity and other variables in the database; (2)  2) Construct validity (correlation with negative and and positive words) </t>
  </si>
  <si>
    <t>Affective ratings (Valence, Arousal, Dominance), Semantic ratings (Imageability, Concreteness), and Objective variables (regional frequency, number of letters, syllable length, and grammatical class).</t>
  </si>
  <si>
    <t>https://static-content.springer.com/esm/art%3A10.3758%2Fs13428-021-01682-7/MediaObjects/13428_2021_1682_MOESM1_ESM.xlsx</t>
  </si>
  <si>
    <t>2016_Guasch_BRM</t>
  </si>
  <si>
    <t>10.3758/s13428-015-0684-y</t>
  </si>
  <si>
    <t>Affective words (nouns, verbs, adjectives, adverbs, interjections)</t>
  </si>
  <si>
    <t>The stimuli were selected to range across the concreteness dimension and included 94.29% nouns, 24.43% verbs, and 17.00% adjectives, and 0.36 % of other categories (i.e., adverbs and interjections).</t>
  </si>
  <si>
    <t>Students (They were all highly fluent speakers of Spanish)</t>
  </si>
  <si>
    <t>20-23</t>
  </si>
  <si>
    <t>1 = minimum level of familiarity; 7 = highest level of familiarity.</t>
  </si>
  <si>
    <t>adapted from Stadthagen-Gonzalez &amp; Davis (2006). Participants were asked to take into account the extent to which they knew the meaning of a word, as well as the frequency with which they used it.</t>
  </si>
  <si>
    <t>Stadthagen-Gonzalez, H., &amp; Davis, C. J. (2006). The Bristol norms for age of acquisition, imageability, and familiarity. Behavior research methods, 38(4), 598-605.</t>
  </si>
  <si>
    <t>Questionnaires with random or aberrant response patterns (e.g., correlation near or below zero with the group mean) were discarded. This led to the exclusion of 46 questionnaires (2.12% of the total).</t>
  </si>
  <si>
    <t>The mean intraclass correlation coefficient (ICC) across 16 questionnaires was .85 (SD = .05, range = .72–.93).</t>
  </si>
  <si>
    <t>To assess interrater reliability, intraclass correlation coefficients (ICCs) were calculated for the 16 questionnaires created for the familiarity variable.</t>
  </si>
  <si>
    <t>The ratings were compared with several other Spanish databases. For example, the correlation with the EsPal database was r = .69; with Moreno-Martínez et al. (2014) the correlation was r = .76.</t>
  </si>
  <si>
    <t>Validity was established by computing Pearson correlations with other existing Spanish norms. The predictive power of the norms was also assessed using a linear regression analysis on lexical decision times.</t>
  </si>
  <si>
    <t>Valence, arousal, concreteness, imageability, context availability.</t>
  </si>
  <si>
    <t>https://static-content.springer.com/esm/art%3A10.3758%2Fs13428-015-0684-y/MediaObjects/13428_2015_684_MOESM1_ESM.xlsx</t>
  </si>
  <si>
    <t>Check da Irene Con commento</t>
  </si>
  <si>
    <t>2017_Bayram_JPsycholinguistRes</t>
  </si>
  <si>
    <t>10.1007/s10936-016-9471-x</t>
  </si>
  <si>
    <t>Turkish</t>
  </si>
  <si>
    <t>Nouns, verbs</t>
  </si>
  <si>
    <t>All words (160 nouns, 160 verbs) were divided into two groups: action and non-action. The database also includes corresponding picture stimuli for each word.</t>
  </si>
  <si>
    <t>1 = words they had never seen; 7 = words they come across nearly every day.</t>
  </si>
  <si>
    <t>Participants were asked to rate the written word depending on “the degree to which you come in contact with or think about the concept"</t>
  </si>
  <si>
    <t>No information is provided about the removal of outlier participants or data points. A "don't know" option was provided to the participants.</t>
  </si>
  <si>
    <t>Familiarity showed correlations with frequency: .692
with imageability: .213
with word length: -.124
with AoA: -.545</t>
  </si>
  <si>
    <t>A correlation analysis (Spearman's rank) was performed with all the measures included in the database to assess the relationships between them.</t>
  </si>
  <si>
    <t>Age of acquisition, imageability, name agreement, complexity, frequency, word length, and morpheme count.</t>
  </si>
  <si>
    <t>available on request</t>
  </si>
  <si>
    <t>2024_Conca_BRM</t>
  </si>
  <si>
    <t>10.3758/s13428-024-02428-x</t>
  </si>
  <si>
    <t>78 concrete, 425 abstract</t>
  </si>
  <si>
    <t>Students, general population</t>
  </si>
  <si>
    <t>mean 10 (range: 8–17)</t>
  </si>
  <si>
    <t>1: Not familiar, 7: Familiar</t>
  </si>
  <si>
    <t>There are words that we use, hear and see very often, and others that we rarely hear or thatwe have never heard or seen. Words in the first category will be judged as very familiar, whilewords in the second category will be judged as unfamiliar.For example, think of the words mug and crossbow. The word mug is very familiar as it is aword we use, hear and see very often. On the contrary, the word crossbow is much lessfamiliar as we rarely hear, see and use it.Your task is to rate the familiarity of a word list on a seven-point scale. You must thereforeassign to each word a number between 1 and 7, where 1 is “not at all familiar” and 7 “veryfamiliar”.You can assign a score of 7 to those words that you use, hear and see very often, while youcan assign a score of 1 to the words you rarely use, hear and see. There may be some words that you have used or heard more often than you have seen themwritten. On the other hand, there may be other words that you have seen written more thanyou have used or heard them. In these cases, always give the highest score of the three.You’ve probably often used and heard the word cheers, but you may never have seen itwritten. In this case you should give to the word cheers a score of 6, which is often. Use the entire range of numbers from 1 to 7. Don’t worry about how often you use a givennumber, because the important thing is that it matches your judgement. It’s not important that you know how to define all words. You just have to assign a familiarityscore to each word, regardless of its precise definition.  Take your time to accomplish the task, but at the same time don’t dwell too much on eachword. It’s important that you are as accurate as possible. Below we provide you with two tests to give you an idea of the task you will have to perform.Evaluate how familiar the following words are, indicating the appropriate number: https://osf.io/ygeqz</t>
  </si>
  <si>
    <t>1) First Quality Check (Individual Response Review): Eleven participants were excluded from the analysis for not complying with the instructions and giving random answers, and four other participants were excluded because they did not complete the ratings for at least 75% of the items. 2) Second Quality Check (Response Variability): Participants were excluded if they gave the same response in ≥90% of trials, responses excluded in 19 cases and 2 participants fully removed based on this criterion. 3) Outlier detection (attempted but not used): responses ≥ ±3 SD from the mean: no responses removed.</t>
  </si>
  <si>
    <t>1) interrater reliability, Cronbach’s alpha</t>
  </si>
  <si>
    <t>1) α = 0.78</t>
  </si>
  <si>
    <t>.25*= ima, -.01=aro, -.11=val, .22*=mental state, .08=political, .04=quantity, .15*=space, .28*=social, -.39*=theoretical</t>
  </si>
  <si>
    <t>1) Pearson correlation between variables (Bonferroni correction was applied (α = 0.05/11 = 0.004). Note that familiarity was not included in the principal component analysis</t>
  </si>
  <si>
    <t>imageability, age of acquisition, emotional valence, arousal, quantity, social, space, theoretical, mental state, political dimensions</t>
  </si>
  <si>
    <t>https://osf.io/8czf3</t>
  </si>
  <si>
    <t>https://osf.io/jkyn8</t>
  </si>
  <si>
    <t>2002_Barca_BRM</t>
  </si>
  <si>
    <t>10.3758/BF03195471</t>
  </si>
  <si>
    <t>morphologically simple,not ambiguous for grammatical category or for meaning, and 4–9 letters long</t>
  </si>
  <si>
    <t>Your task is to rate how well you think each word is known by students like you. Rate each word by crossing the number that best indicates your judgment. Keep in mind that the “1” correspondsto verylittle known words, and the “7” to the words that youthink are very well known by studentslike you.Use the intermediatenumbersforintermediatedegreesof knowledge. Feel free to use all the numbers on the scale. Rate each word only once. Remember to rate every word.</t>
  </si>
  <si>
    <t>1) .56*=ima, .18*=conc, 52*=adultWRTFQ, .71*=childWrt TotFQ, .67*=ChildWrt CompFQ, .70*=ChildWrt CompFQ, .41*=AdultSpkFQ, Nsize=ns, .11*=Bigr, -.12*=Syl, ns=let; 2) Factor analysis: factor 1 frequency with AdultWrtFQ, theChildWrtfrequencies,AdultSpkFQ, andFAM; 3) Fam vs RTs: -.26*; 4)  FAM vs Dell’Acqua et al.’s object FAM was .33, and it was .43 with Nisi et al.’s object FAM.</t>
  </si>
  <si>
    <t>1) Pearson correlation between variables (no correction) (convergent and discriminant validity), 2) Factor analysis (Construct validity), 3) Correlation with reaction times from naming task (516 words) (validità predittiva), 4) IT Word FAM vs. IT object fam (Dell’Acqua et al., 2000; Nisi et al., 2000) (construct validity)</t>
  </si>
  <si>
    <t>AoA, imageability, concreteness, adult written frequency, child written frequency, adult spoken frequency,number of orthographic neighbors, mean bigram frequency,length in syllables,and length in letters.</t>
  </si>
  <si>
    <t>https://www.istc.cnr.it/en/content/databases</t>
  </si>
  <si>
    <t>English translation</t>
  </si>
  <si>
    <t>Original link does not work - Laura sent me the link that works now_07-02.26</t>
  </si>
  <si>
    <t>2002_Blair_BRM</t>
  </si>
  <si>
    <t>10.3758/BF03195456</t>
  </si>
  <si>
    <t>nouns, verbs, and adjectives. The frequency of these words, according to KucÏera and Francis (1967), ranged from 0 to 1,303 (M = 102.41). In addition, a subsample of 132 nonstandard words was added. This subsample contained 36 slang terms (e.g., bimbo, rad, reefer, yuppie) and 96 forenames (48 male and female European American names and 48 male and female African American names, taken from Greenwald et al., 1998). According to KucÏera and Francis, these words ranged in frequency from 0 to 92 (M = 5.82).</t>
  </si>
  <si>
    <t>1 = very unfamiliar,5=very familiar</t>
  </si>
  <si>
    <t>how common or frequently you have encountered the word, or how well you know the word.</t>
  </si>
  <si>
    <t>Cronbach’s alpha = .97.</t>
  </si>
  <si>
    <t>Cronbach’s alpha for interrater reliability</t>
  </si>
  <si>
    <t xml:space="preserve">1) Full standard word sample (N=382): .45*=AltaVista, .49*=Northern Light, .46* = Excite, .47*=yahoo; 2) Stardard words: AV: .40*, NL=.43*, EX: .39*, YH=.40*; Nonstardard words: AV= .59*, NL=.61*, EX=.60*, YH=.63* </t>
  </si>
  <si>
    <t xml:space="preserve">1) Pearson correlation with the word frequency measures on all word sample; 2) Pearson correlations on the word subsets </t>
  </si>
  <si>
    <t>Word frequency measures from different sources</t>
  </si>
  <si>
    <t>sent email to irene.blair@colorado.edu on 07-02-26</t>
  </si>
  <si>
    <t>1977_Gilhooly_BRM</t>
  </si>
  <si>
    <t>10.3758/BF03202210</t>
  </si>
  <si>
    <t>5-word letters, not plurals, common names, familiar</t>
  </si>
  <si>
    <t>1=never seen, heard, used; 7= seen, heard, used every day</t>
  </si>
  <si>
    <t>Noble CE. The meaning-familiarity relationship. Psychol Rev. 1953;60(2):89. pmid:13056100</t>
  </si>
  <si>
    <t>r=.952</t>
  </si>
  <si>
    <t>Intergroup reliability (Pearson's correlation between males and females)</t>
  </si>
  <si>
    <t>1) Ima= .30*. con= .14*, AoA=-.66*, Thorndike-Lorge (1944) frequency=.40*. 2) Fam (Stratton, Jacobus, and Brinley, 1975, N=22) = .86*</t>
  </si>
  <si>
    <t>1) Pearson's correlation (construct validity: convergent/discriminant) with the other measures; 2) (Concurrent and convergent validity) Pearson' correlation with the other fam norms</t>
  </si>
  <si>
    <t>imagery, concreteness, AoA, meaningfulness, Word Frequency</t>
  </si>
  <si>
    <t>database included in the paper</t>
  </si>
  <si>
    <t xml:space="preserve">2005_Morrow_BRM
</t>
  </si>
  <si>
    <t>10.3758/BF03192731</t>
  </si>
  <si>
    <t xml:space="preserve"> 444 from seven natural categories (animals, birds, flowers, fruit, insects, trees, and vegetables), and 444 from seven manmade item categories (clothing, cutlery, musical instruments, jewelry, furniture, tools, and transport)</t>
  </si>
  <si>
    <t>54 young adults (53 used) + 54 older adults</t>
  </si>
  <si>
    <t>108 (107 after excusion of 1 young adult)</t>
  </si>
  <si>
    <t xml:space="preserve"> 1 = not at all, 4 = moderately, 7 = extremely</t>
  </si>
  <si>
    <t>NI. Description of the measures: For familiarity, the participants were asked how acquainted they were with the item (i.e., how much knowledge they had about the item). The measure of frequency was subjective, whereby the participants were asked to consider how often they encountered the item in any form, considering their exposure to the real item, pictures of the item, and the written word.</t>
  </si>
  <si>
    <t xml:space="preserve"> Items that had been omitted by the participants were also omitted in the database, were not replaced, and were not examined further. The number of times an item was omitted was not more than five across participants in each group. When items were unknown, the number of younger and older participants who did not know the word was counted and recorded as a percentage.2 The means for each of the items on each of the measures were then calculated, and the standard deviations obtained.</t>
  </si>
  <si>
    <t>Old-Young fam: r=.781*, Old-Young sFreq: r=.862*</t>
  </si>
  <si>
    <t>Intergroup Reliability using Pearson's r Correlation</t>
  </si>
  <si>
    <t>1) Pearson’s correlations with Other Psycholinguistic Attributes (Construct Validity): Familiarity: Younger adults: vs. Typicality: r = .629*, vs. Frequency: r = .935*, vs. Imageability: r = .938*, vs. Age of Acquisition: r = -.856*. Older adults: vs. Typicality: r = .810*, vs. Frequency: r = .936*, vs. Imageability: r = .908*, vs. Age of Acquisition: r = -.746*. Subjective Frequency: Younger adults: vs. Typicality: r = .617*, vs. Familiarity: r = .935*, vs. Imageability: r = .847*, vs. Age of Acquisition: r = -.777*. Older adults: vs. Typicality: r = .799*, vs. Familiarity: r = .936*, vs. Imageability: r = .795*, vs. Age of Acquisition: r = -.676*. 2) Familiarity: Older adults rated items significantly higher than younger adults (t = 3.882*). Subjective Frequency: Older adults also rated items significantly higher than younger adults (t = 3.788*).</t>
  </si>
  <si>
    <t>1) Pearson’s correlations with Other Psycholinguistic Attributes (Construct Validity), 2) Age-Related Differences (Construct Validity / Discriminant Validity): t-tests</t>
  </si>
  <si>
    <t>typicality, visual complexity, imageability, AoA</t>
  </si>
  <si>
    <t>https://static-content.springer.com/esm/art%3A10.3758%2FBF03192731/MediaObjects/Morrow-BRM-2005.zip</t>
  </si>
  <si>
    <t>1975_Zechmeister_BRM</t>
  </si>
  <si>
    <t>10.3758/BF03201625</t>
  </si>
  <si>
    <t>Surnames</t>
  </si>
  <si>
    <t>selected from Chicago telephone book</t>
  </si>
  <si>
    <t>min 40</t>
  </si>
  <si>
    <t>9-point (sfreq), 5-point (fam)</t>
  </si>
  <si>
    <t>sfreq: 1= rarely, 5= average, 9= very frequently; fam: 1= never, 2=rarely, 3= sometimes, 4= often, 5=very often</t>
  </si>
  <si>
    <t>No instructions available. Description: sfreq: how frequently a particular last name occurs relative to all other names; fam: "to find how often you have come in ~ontact with certain name.</t>
  </si>
  <si>
    <t>Fam and sFreq</t>
  </si>
  <si>
    <t>sfreq and sfreq</t>
  </si>
  <si>
    <t xml:space="preserve">Pearson' r= .96 fam, r= .94 sfreq </t>
  </si>
  <si>
    <t xml:space="preserve">correlation between mean ratings of each name for the 2 diffent stimulus forms </t>
  </si>
  <si>
    <t>sfreq: fam=.95*, orth=-.60*, pron=-.84; fam: orth= -.54*, pron= -.77</t>
  </si>
  <si>
    <t>Correlation with other variables</t>
  </si>
  <si>
    <t>orthographic distinctiveness, pronunciability</t>
  </si>
  <si>
    <t>Pearson correlations with other variables</t>
  </si>
  <si>
    <r>
      <t>Della Rosa, P. A., Catricalà, E., Vigliocco, G., &amp; Cappa, S. F. (2010). Beyond the abstract–concrete dichotomy: Mode of acquisition, concreteness, imageability, familiarity, age of acquisition, context availability, and abstractness norms for a set of 417 Italian words. Behavior Research Methods, 42, 1042–1048. doi:</t>
    </r>
    <r>
      <rPr>
        <rFont val="&quot;Merriweather Sans&quot;, &quot;Helvetica Neue&quot;, Helvetica, Arial, sans-serif"/>
        <color rgb="FF1155CC"/>
        <sz val="12.0"/>
        <u/>
      </rPr>
      <t>10.3758/BRM.42.4.1042</t>
    </r>
  </si>
  <si>
    <t>The instructions were based on Yee (2017) and asked participants to rate how familiar they felt towards a specific word. Participants were told to rate the words as quickly as possible based on their first impression.</t>
  </si>
  <si>
    <r>
      <t xml:space="preserve">ee, L. T. (2017). Valence, arousal, familiarity, concreteness, and imageability ratings for 292 two-character Chinese nouns in Cantonese speakers in Hong Kong. PLOS ONE, 12, e0174569. </t>
    </r>
    <r>
      <rPr>
        <rFont val="&quot;Merriweather Sans&quot;, &quot;Helvetica Neue&quot;, Helvetica, Arial, sans-serif"/>
        <color rgb="FF1155CC"/>
        <sz val="12.0"/>
        <u/>
      </rPr>
      <t>https://doi.org/10.1371/journal.pone.0174569</t>
    </r>
  </si>
  <si>
    <t>The corrected split-half correlation was .69.</t>
  </si>
  <si>
    <t>The familiarity ratings were moderately associated with those in Yee (2017) (+.48), but weakly associated with those in Yao et al. (2017) (+.10) and Su et al. (2023a) (+.07). The paper discusses possible reasons for these discrepancies.</t>
  </si>
  <si>
    <t>The validity of the ratings was assessed by comparing them with other Chinese norming studies (Yee, 2017; Yao et al., 2017; Su et al., 2023a) through correlational analyses.</t>
  </si>
  <si>
    <r>
      <rPr>
        <rFont val="Calibri, sans-serif"/>
        <color rgb="FF000000"/>
        <sz val="10.0"/>
      </rPr>
      <t xml:space="preserve">The previously compiled Croatian Lexical Database (Kuvač Kraljević &amp; Olujić, </t>
    </r>
    <r>
      <rPr>
        <rFont val="Arial"/>
        <color rgb="FF1155CC"/>
        <sz val="11.0"/>
        <u/>
      </rPr>
      <t>2018</t>
    </r>
    <r>
      <rPr>
        <rFont val="Calibri, sans-serif"/>
        <color rgb="FF000000"/>
        <sz val="10.0"/>
      </rPr>
      <t>) is a meta-database, with imageability, subjective frequency, concreteness, familiarity, AoA, word class and word length ratings for 2869 words collected from seven different studies between 2007 and 2019. A total of 600 words in the database were rated by at least 23 raters and are thus a valuable resource. The remaining 2269 words were rated by three or fewer raters and should be approached with caution.</t>
    </r>
  </si>
  <si>
    <t xml:space="preserve"> https://osf.io/nyg8v/</t>
  </si>
  <si>
    <t>Twelve subjects of the 75 participants of the original sample were discarded because they were nonnative or bilingual speakers of American English or because they failed to follow instructions. No trimming of outlier ratings was reported.</t>
  </si>
  <si>
    <t>https://static-content.springer.com/esm/art%3A10.3758%2Fs13428-014-0523-6/MediaObjects/13428_2014_523_MOESM2_ESM.xlsx</t>
  </si>
  <si>
    <r>
      <rPr>
        <rFont val="Calibri, sans-serif"/>
        <color rgb="FF000000"/>
        <sz val="10.0"/>
      </rPr>
      <t xml:space="preserve">Link to the instructions: </t>
    </r>
    <r>
      <rPr>
        <rFont val="Calibri, sans-serif"/>
        <color rgb="FF1155CC"/>
        <sz val="10.0"/>
        <u/>
      </rPr>
      <t>https://static-content.springer.com/esm/art%3A10.3758%2Fs13428-014-0523-6/MediaObjects/13428_2014_523_MOESM1_ESM.doc</t>
    </r>
  </si>
  <si>
    <t>Participants were asked to rate how often they came into contact with a word (seen, heard, or used)</t>
  </si>
  <si>
    <t>Interrater reliability for control words (Cronbach's α) was at least .98. The reliability between the Bristol and G&amp;L norms was high (Cronbach's α = .86). The correlation for the same words in the G&amp;L norms was r = .86.</t>
  </si>
  <si>
    <t>Interrater reliability was assessed using Cronbach's alpha. Reliability was also assessed by calculating the Pearson correlation and Cronbach's alpha between the ratings for 76 control words and their corresponding ratings in the Gilhooly &amp; Logie (1980) norms.</t>
  </si>
  <si>
    <t>Correlation with lexical decision latencies: r = -.53; with naming latencies: r = -.33. Correlation with BNC spoken frequency: r = .72; with BNC written frequency: r = .57.</t>
  </si>
  <si>
    <t>Validity was assessed by correlating the ratings with standardized reaction times (lexical decision and naming) from the English Lexicon Project and with various objective frequency measures (e.g., CELEX, BNC).</t>
  </si>
  <si>
    <t>COLIN DAVIS MI HA INVIATO IL FILE EXCEL MA NON CREDO POSSIAMO CARICARLO NOI DA QUALCHE PARTE</t>
  </si>
  <si>
    <t>"Words differ in how commonly or frequently they have been encountered... You should base your ratings according to the following 7-point scale: 1 = never, 2 = once a year, 3 = once a month, 4 = once a week, 5 = every two days, 6 = once a day, 7 = several times a day." The instructions explicitly avoid the term "familiarity."</t>
  </si>
  <si>
    <t>Correlation with objective log frequency (Kučera &amp; Francis) was .78-.79. Correlation with objective log frequency (CELEX) was .81-.83. The estimates accounted for 18-21% of variance in lexical decision times beyond objective frequency.</t>
  </si>
  <si>
    <t>Validity was assessed by (1) calculating Pearson correlations with objective frequency counts (Kučera &amp; Francis, CELEX) and other subjective norms (Toglia &amp; Battig), and (2) using multiple regression to determine the predictive power of the norms on lexical decision latencies.</t>
  </si>
  <si>
    <t>1= Unfamiliar, 7=very familiar</t>
  </si>
  <si>
    <t>Spearman's correlation with Age of Acquisition (r = -.67). Pearson's r with other familiarity norms ranged from .64 to .82 (e.g., r = .82 with Gilhooly &amp; Logie, 1980a; r = .81 with Stadthagen-Gonzalez &amp; Davis, 2006).</t>
  </si>
  <si>
    <t>Validity was established by calculating Pearson correlations with 18 different sets of current psycholinguistic norms. A Principal Component Analysis was also performed on all nine collected dimensions to investigate the relationships between them.</t>
  </si>
  <si>
    <t>https://static-content.springer.com/esm/art%3A10.3758%2FBRM.42.1.134/MediaObjects/Eilola-BRM-2010.zip</t>
  </si>
  <si>
    <t>French-speaking participants (80 women, 16 men) aged between 18 and 50 (mean age = 26.73). They had a high socio-cultural level</t>
  </si>
  <si>
    <t>familiarity was significantly positively correlated with all five perceptual strength modalities (visual, auditory, haptic, gustatory, olfactory), with Spearman's ρ ranging from 0.313 to 0.857.</t>
  </si>
  <si>
    <t>Spearman's correlation analyses were conducted between conceptual familiarity ratings and the five perceptual strength ratings.</t>
  </si>
  <si>
    <r>
      <rPr>
        <rFont val="Calibri, sans-serif"/>
        <color rgb="FFFF0000"/>
        <sz val="10.0"/>
      </rPr>
      <t xml:space="preserve">Link does not work: </t>
    </r>
    <r>
      <rPr>
        <rFont val="Calibri, sans-serif"/>
        <color rgb="FFFF0000"/>
        <sz val="10.0"/>
        <u/>
      </rPr>
      <t>https://sharepoint1.umons.ac.be/FR/UNIVERSITE/FACULTES/FPSE/SERVICESEETR/SC_CO/Pages/Appendixes.aspx.</t>
    </r>
  </si>
  <si>
    <r>
      <t xml:space="preserve">1) Balota, D. A., Pilotti, M., &amp; Cortese, M. J. (2001). Subjective frequency estimates for 2,938 monosyllabic words. Memory &amp; Cognition, 29(4), 639–647. </t>
    </r>
    <r>
      <rPr>
        <rFont val="Calibri, sans-serif"/>
        <color rgb="FF1155CC"/>
        <sz val="10.0"/>
        <u/>
      </rPr>
      <t>https://doi.org/10.3758/BF03200465</t>
    </r>
    <r>
      <rPr>
        <rFont val="Calibri, sans-serif"/>
        <color rgb="FF000000"/>
        <sz val="10.0"/>
      </rPr>
      <t>; 2) Robert, C., Dorot, D., &amp; Mathey, S. (2012). Du campus au jardin: estimations de fréquence subjectiveauprès d’adultes jeunes et âgéspour 660 mots de la langue française. L’Année psychologique, 112(2), 227–246. https://doi.org/10.4074/S0003503312002035</t>
    </r>
  </si>
  <si>
    <r>
      <rPr>
        <rFont val="Calibri, sans-serif"/>
        <color rgb="FF000000"/>
        <sz val="10.0"/>
      </rPr>
      <t xml:space="preserve">1) Balota, D. A., Pilotti, M., &amp; Cortese, M. J. (2001). Subjective frequency estimates for 2,938 monosyllabic words. Memory &amp; Cognition, 29(4), 639–647. </t>
    </r>
    <r>
      <rPr>
        <rFont val="Calibri, sans-serif"/>
        <color rgb="FF1155CC"/>
        <sz val="10.0"/>
        <u/>
      </rPr>
      <t>https://doi.org/10.3758/BF03200465</t>
    </r>
  </si>
  <si>
    <t>min 61</t>
  </si>
  <si>
    <t>Community sample</t>
  </si>
  <si>
    <r>
      <rPr>
        <rFont val="Calibri, sans-serif"/>
        <color rgb="FF000000"/>
        <sz val="10.0"/>
      </rPr>
      <t xml:space="preserve">https://osf.io/crzsh, The database is available as electronic supplementary material on the journal's website: </t>
    </r>
    <r>
      <rPr>
        <rFont val="Calibri, sans-serif"/>
        <color rgb="FF1155CC"/>
        <sz val="10.0"/>
        <u/>
      </rPr>
      <t>https://static-content.springer.com/esm/art%3A10.3758%2Fs13428-012-0291-0/MediaObjects/13428_2012_291_MOESM3_ESM.xls</t>
    </r>
  </si>
  <si>
    <r>
      <rPr>
        <rFont val="Calibri, sans-serif"/>
        <color rgb="FF1155CC"/>
        <sz val="10.0"/>
        <u/>
      </rPr>
      <t>https://figshare.com/s/188257a8c7de933ba28a</t>
    </r>
    <r>
      <rPr>
        <rFont val="Calibri, sans-serif"/>
        <color rgb="FF000000"/>
        <sz val="10.0"/>
        <u/>
      </rPr>
      <t>.</t>
    </r>
  </si>
  <si>
    <r>
      <rPr>
        <rFont val="Calibri, sans-serif"/>
        <color rgb="FF1155CC"/>
        <sz val="10.0"/>
        <u/>
      </rPr>
      <t>https://osf.io/6xyun/?view_only=062f49f57f9f4a6f8c73aab672c86dd2</t>
    </r>
  </si>
  <si>
    <t>instructions for familiarity were an adaptation of those used by Eilola and Havelka (2010): Your task is to rate the following words in terms of their
familiarity. You have to rate how often the word occurs in
everyday language, both in the spoken and in the written
form. For example, you may hear the word on conversations,
at the radio, on movies, at TV, or you may find it in a
written form in magazines, books, Internet, etc. You have to
do your ratings by using a 1 to 9 scale. A score of 1
indicates that you rarely find the word in everyday
language. Conversely, a score of 9 indicates that you find
the word almost always in everyday language. You can use
any of the intermediate values of the scale.</t>
  </si>
  <si>
    <t>2014_Moreno_Martìnez_BRM</t>
  </si>
  <si>
    <t>checked by Irene</t>
  </si>
  <si>
    <t>Your task is to rate how well you think each word is known by students like you. Rate each word by crossing the number that best indicates your judgment. Keep in mind that the “1” correspondsto verylittle known words, and the “7” to the words that youthink are very well known by studentslike you.Use the intermediatenumbersforintermediatedegreesof knowledge.Feel free to use all the numbers on the scale. Rate each word only once.Rememberto rate everyword.</t>
  </si>
  <si>
    <r>
      <rPr>
        <color rgb="FF1155CC"/>
        <u/>
      </rPr>
      <t>https://pubmed.ncbi.nlm.nih.gov/?term=((familiarity%5BTitle%2FAbstract%5D)%20AND%20((ratings%5BTitle%2FAbstract%5D%20OR%20norms%5BTitle%2FAbstract%5D%20OR%20database%5BTitle%2FAbstract%5D)))%20AND%20(words%5BTitle%2FAbstract%5D)&amp;sort=&amp;page=6</t>
    </r>
  </si>
  <si>
    <t>https://pubmed.ncbi.nlm.nih.gov/39733132/</t>
  </si>
  <si>
    <t>https://pubmed.ncbi.nlm.nih.gov/39614682/</t>
  </si>
  <si>
    <t>ricorda che hai escluso studi con campioni dichiaratamente bilingui, e studi in cui i dati di familiarità erano stati derivati da altri studi (non erano valori nuovi)</t>
  </si>
  <si>
    <t xml:space="preserve">Sono considerate norme di familiarità su parole singole </t>
  </si>
  <si>
    <t>Fare un summary critico (capire le aree di miglioramento), lingua e cultura, se quello ke c'è va bene, e se no perché non va bene e come si può migliorare</t>
  </si>
  <si>
    <t>Analizzando non solo quello che c'è, quello ke c'è è coerente, è ok?</t>
  </si>
  <si>
    <t>evidenziare paper problematici x Ettore</t>
  </si>
  <si>
    <t>Cominciare da quelli meno problematici x inviare le mail</t>
  </si>
  <si>
    <t>september 2025</t>
  </si>
  <si>
    <t>last data collection of Erin's database</t>
  </si>
  <si>
    <t>paper eliminato perché non ha articoli di familiarità nuovi</t>
  </si>
  <si>
    <t>2007_Redondo_BRM</t>
  </si>
  <si>
    <t>10.3758/BF03193031</t>
  </si>
  <si>
    <t>The stimuli are the Spanish translations of the 1,034 English words from the ANEW database.</t>
  </si>
  <si>
    <t>Order the norms in alphabetical order for language and year of publication</t>
  </si>
  <si>
    <t>Link to the norms: write to the authors who sent us the database via email. Is it possible to upload it in the folder of ManyNorms?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</si>
</sst>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0.0"/>
      <color theme="1"/>
      <name val="Calibri"/>
    </font>
    <font>
      <sz val="10.0"/>
      <color rgb="FF000000"/>
      <name val="Calibri"/>
    </font>
    <font>
      <sz val="10.0"/>
      <color theme="1"/>
      <name val="Calibri"/>
    </font>
    <font>
      <u/>
      <sz val="10.0"/>
      <color rgb="FF000000"/>
      <name val="Calibri"/>
    </font>
    <font>
      <u/>
      <sz val="10.0"/>
      <color rgb="FF0000FF"/>
      <name val="Calibri"/>
    </font>
    <font>
      <u/>
      <sz val="10.0"/>
      <color rgb="FF000000"/>
      <name val="Calibri"/>
    </font>
    <font>
      <u/>
      <sz val="10.0"/>
      <color rgb="FF000000"/>
      <name val="Calibri"/>
    </font>
    <font>
      <u/>
      <sz val="10.0"/>
      <color rgb="FF000000"/>
      <name val="Calibri"/>
    </font>
    <font>
      <color theme="1"/>
      <name val="Arial"/>
      <scheme val="minor"/>
    </font>
    <font>
      <color rgb="FF000000"/>
      <name val="Arial"/>
      <scheme val="minor"/>
    </font>
    <font>
      <u/>
      <sz val="10.0"/>
      <color rgb="FF000000"/>
      <name val="Calibri"/>
    </font>
    <font>
      <sz val="10.0"/>
      <color theme="1"/>
      <name val="Arial"/>
      <scheme val="minor"/>
    </font>
    <font>
      <u/>
      <sz val="10.0"/>
      <color rgb="FF000000"/>
      <name val="Calibri"/>
    </font>
    <font>
      <sz val="10.0"/>
      <color rgb="FFFF0000"/>
      <name val="Calibri"/>
    </font>
    <font>
      <u/>
      <sz val="10.0"/>
      <color rgb="FF0000FF"/>
      <name val="Calibri"/>
    </font>
    <font>
      <u/>
      <sz val="10.0"/>
      <color rgb="FFFF0000"/>
      <name val="Calibri"/>
    </font>
    <font>
      <u/>
      <sz val="10.0"/>
      <color rgb="FF000000"/>
      <name val="Calibri"/>
    </font>
    <font>
      <u/>
      <color rgb="FF0000FF"/>
    </font>
    <font>
      <u/>
      <color rgb="FF0000FF"/>
    </font>
  </fonts>
  <fills count="11">
    <fill>
      <patternFill patternType="none"/>
    </fill>
    <fill>
      <patternFill patternType="lightGray"/>
    </fill>
    <fill>
      <patternFill patternType="solid">
        <fgColor rgb="FF980000"/>
        <bgColor rgb="FF980000"/>
      </patternFill>
    </fill>
    <fill>
      <patternFill patternType="solid">
        <fgColor rgb="FF00FF00"/>
        <bgColor rgb="FF00FF00"/>
      </patternFill>
    </fill>
    <fill>
      <patternFill patternType="solid">
        <fgColor rgb="FF00FFFF"/>
        <bgColor rgb="FF00FFFF"/>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4A86E8"/>
        <bgColor rgb="FF4A86E8"/>
      </patternFill>
    </fill>
    <fill>
      <patternFill patternType="solid">
        <fgColor rgb="FFFFF2CC"/>
        <bgColor rgb="FFFFF2CC"/>
      </patternFill>
    </fill>
  </fills>
  <borders count="2">
    <border/>
    <border>
      <top style="thin">
        <color rgb="FF000000"/>
      </top>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right" readingOrder="0" shrinkToFit="0" wrapText="1"/>
    </xf>
    <xf borderId="0" fillId="0" fontId="1" numFmtId="0" xfId="0" applyAlignment="1" applyFont="1">
      <alignment horizontal="left" readingOrder="0" shrinkToFit="0" wrapText="1"/>
    </xf>
    <xf borderId="0" fillId="2" fontId="1" numFmtId="49" xfId="0" applyAlignment="1" applyFill="1" applyFont="1" applyNumberFormat="1">
      <alignment horizontal="left" readingOrder="0" shrinkToFit="0" wrapText="1"/>
    </xf>
    <xf borderId="0" fillId="2" fontId="1" numFmtId="0" xfId="0" applyAlignment="1" applyFont="1">
      <alignment horizontal="left" readingOrder="0" shrinkToFit="0" wrapText="1"/>
    </xf>
    <xf borderId="0" fillId="0" fontId="1" numFmtId="0" xfId="0" applyAlignment="1" applyFont="1">
      <alignment horizontal="righ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2" fontId="1" numFmtId="49" xfId="0" applyAlignment="1" applyFont="1" applyNumberFormat="1">
      <alignment horizontal="left" readingOrder="0" shrinkToFit="0" vertical="center" wrapText="1"/>
    </xf>
    <xf borderId="0" fillId="2" fontId="1" numFmtId="0" xfId="0" applyAlignment="1" applyFont="1">
      <alignment horizontal="left" readingOrder="0" shrinkToFit="0" vertical="center" wrapText="1"/>
    </xf>
    <xf borderId="0" fillId="3" fontId="1" numFmtId="49" xfId="0" applyAlignment="1" applyFill="1" applyFont="1" applyNumberFormat="1">
      <alignment horizontal="left" readingOrder="0" shrinkToFit="0" vertical="center" wrapText="1"/>
    </xf>
    <xf borderId="0" fillId="2" fontId="1"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0" fontId="2" numFmtId="0" xfId="0" applyAlignment="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right"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horizontal="left" readingOrder="0" shrinkToFit="0" vertical="center" wrapText="1"/>
    </xf>
    <xf borderId="0" fillId="0" fontId="2" numFmtId="0" xfId="0" applyAlignment="1" applyFont="1">
      <alignment horizontal="right" readingOrder="0" shrinkToFit="0" vertical="center" wrapText="1"/>
    </xf>
    <xf borderId="0" fillId="4" fontId="2" numFmtId="0" xfId="0" applyAlignment="1" applyFill="1" applyFont="1">
      <alignment horizontal="left" readingOrder="0" shrinkToFit="0" vertical="center" wrapText="1"/>
    </xf>
    <xf borderId="0" fillId="0" fontId="5"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5" fontId="2" numFmtId="0" xfId="0" applyAlignment="1" applyFill="1" applyFont="1">
      <alignment horizontal="left" readingOrder="0" shrinkToFit="0" vertical="center" wrapText="1"/>
    </xf>
    <xf borderId="0" fillId="4" fontId="2" numFmtId="0" xfId="0" applyAlignment="1" applyFont="1">
      <alignment horizontal="left" readingOrder="0" shrinkToFit="0" vertical="center" wrapText="1"/>
    </xf>
    <xf borderId="0" fillId="4" fontId="2"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6" fontId="2" numFmtId="0" xfId="0" applyAlignment="1" applyFill="1" applyFont="1">
      <alignment horizontal="left" readingOrder="0" shrinkToFit="0" vertical="center" wrapText="1"/>
    </xf>
    <xf borderId="0" fillId="7" fontId="2" numFmtId="0" xfId="0" applyAlignment="1" applyFill="1" applyFont="1">
      <alignment horizontal="left" readingOrder="0" shrinkToFit="0" vertical="center" wrapText="1"/>
    </xf>
    <xf borderId="0" fillId="5" fontId="2" numFmtId="0" xfId="0" applyAlignment="1" applyFont="1">
      <alignment horizontal="right" readingOrder="0" shrinkToFit="0" vertical="center" wrapText="1"/>
    </xf>
    <xf borderId="0" fillId="5" fontId="2"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0" fillId="5" fontId="8" numFmtId="0" xfId="0" applyAlignment="1" applyFont="1">
      <alignment horizontal="left" readingOrder="0" shrinkToFit="0" vertical="center" wrapText="1"/>
    </xf>
    <xf borderId="0" fillId="5" fontId="2" numFmtId="0" xfId="0" applyAlignment="1" applyFont="1">
      <alignment horizontal="left" readingOrder="0" shrinkToFit="0" vertical="center" wrapText="1"/>
    </xf>
    <xf borderId="0" fillId="5" fontId="9" numFmtId="0" xfId="0" applyFont="1"/>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0" numFmtId="0" xfId="0" applyFont="1"/>
    <xf borderId="0" fillId="0" fontId="11" numFmtId="0" xfId="0" applyAlignment="1" applyFont="1">
      <alignment horizontal="left" readingOrder="0" shrinkToFit="0" vertical="center" wrapText="1"/>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center" wrapText="1"/>
    </xf>
    <xf borderId="0" fillId="8" fontId="2"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3" fontId="2"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6" numFmtId="0" xfId="0" applyAlignment="1" applyFont="1">
      <alignment horizontal="left" readingOrder="0" shrinkToFit="0" vertical="center" wrapText="1"/>
    </xf>
    <xf borderId="0" fillId="0" fontId="0"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4" fontId="2" numFmtId="0" xfId="0" applyAlignment="1" applyFont="1">
      <alignment horizontal="right" readingOrder="0" shrinkToFit="0" vertical="center" wrapText="1"/>
    </xf>
    <xf borderId="0" fillId="0" fontId="2" numFmtId="0" xfId="0" applyAlignment="1" applyFont="1">
      <alignment horizontal="right" readingOrder="0" shrinkToFit="0" vertical="center" wrapText="1"/>
    </xf>
    <xf borderId="0" fillId="7" fontId="2" numFmtId="0" xfId="0" applyAlignment="1" applyFont="1">
      <alignment horizontal="left" readingOrder="0" shrinkToFit="0" vertical="center" wrapText="1"/>
    </xf>
    <xf borderId="0" fillId="7" fontId="17" numFmtId="0" xfId="0" applyAlignment="1" applyFont="1">
      <alignment horizontal="left" readingOrder="0" shrinkToFit="0" vertical="center" wrapText="1"/>
    </xf>
    <xf borderId="0" fillId="0" fontId="9" numFmtId="0" xfId="0" applyAlignment="1" applyFont="1">
      <alignment horizontal="right"/>
    </xf>
    <xf borderId="1" fillId="0" fontId="2" numFmtId="0" xfId="0" applyAlignment="1" applyBorder="1" applyFont="1">
      <alignment horizontal="right" readingOrder="0" shrinkToFit="0" vertical="center" wrapText="1"/>
    </xf>
    <xf borderId="0" fillId="5" fontId="2" numFmtId="0" xfId="0" applyAlignment="1" applyFont="1">
      <alignment horizontal="left" readingOrder="0" shrinkToFit="0" wrapText="1"/>
    </xf>
    <xf borderId="0" fillId="4" fontId="2" numFmtId="0" xfId="0" applyAlignment="1" applyFont="1">
      <alignment horizontal="left" readingOrder="0" shrinkToFit="0" wrapText="1"/>
    </xf>
    <xf borderId="0" fillId="7" fontId="2" numFmtId="0" xfId="0" applyAlignment="1" applyFont="1">
      <alignment horizontal="right" readingOrder="0" shrinkToFit="0" vertical="center" wrapText="1"/>
    </xf>
    <xf borderId="0" fillId="7" fontId="2" numFmtId="0" xfId="0" applyAlignment="1" applyFont="1">
      <alignment horizontal="left" readingOrder="0" shrinkToFit="0" vertical="center" wrapText="1"/>
    </xf>
    <xf borderId="0" fillId="5" fontId="2" numFmtId="0" xfId="0" applyAlignment="1" applyFont="1">
      <alignment horizontal="right" readingOrder="0" shrinkToFit="0" vertical="center" wrapText="1"/>
    </xf>
    <xf borderId="0" fillId="0" fontId="2" numFmtId="0" xfId="0" applyAlignment="1" applyFont="1">
      <alignment horizontal="left" readingOrder="0" shrinkToFit="0" wrapText="1"/>
    </xf>
    <xf borderId="0" fillId="0" fontId="3" numFmtId="0" xfId="0" applyAlignment="1" applyFont="1">
      <alignment horizontal="right" readingOrder="0" shrinkToFit="0" vertical="center" wrapText="1"/>
    </xf>
    <xf borderId="0" fillId="9" fontId="2" numFmtId="0" xfId="0" applyAlignment="1" applyFill="1" applyFont="1">
      <alignment horizontal="right" readingOrder="0" shrinkToFit="0" vertical="center" wrapText="1"/>
    </xf>
    <xf borderId="0" fillId="0" fontId="18" numFmtId="0" xfId="0" applyAlignment="1" applyFont="1">
      <alignment readingOrder="0"/>
    </xf>
    <xf borderId="0" fillId="0" fontId="19" numFmtId="0" xfId="0" applyAlignment="1" applyFont="1">
      <alignment readingOrder="0"/>
    </xf>
    <xf borderId="0" fillId="0" fontId="9" numFmtId="0" xfId="0" applyAlignment="1" applyFont="1">
      <alignment readingOrder="0"/>
    </xf>
    <xf borderId="0" fillId="3" fontId="9" numFmtId="0" xfId="0" applyAlignment="1" applyFont="1">
      <alignment readingOrder="0"/>
    </xf>
    <xf borderId="0" fillId="3" fontId="9" numFmtId="0" xfId="0" applyFont="1"/>
    <xf borderId="0" fillId="10" fontId="2" numFmtId="0" xfId="0" applyAlignment="1" applyFill="1" applyFont="1">
      <alignment horizontal="right" readingOrder="0" shrinkToFit="0" wrapText="1"/>
    </xf>
    <xf borderId="0" fillId="8" fontId="2" numFmtId="0" xfId="0" applyAlignment="1" applyFont="1">
      <alignment horizontal="left" readingOrder="0" shrinkToFit="0" wrapText="1"/>
    </xf>
    <xf borderId="0" fillId="8" fontId="2" numFmtId="0" xfId="0" applyAlignment="1" applyFont="1">
      <alignment horizontal="right" readingOrder="0" shrinkToFit="0" wrapText="1"/>
    </xf>
    <xf borderId="0" fillId="8" fontId="2" numFmtId="0" xfId="0" applyAlignment="1" applyFont="1">
      <alignment horizontal="right" readingOrder="0" shrinkToFit="0" wrapText="1"/>
    </xf>
    <xf borderId="0" fillId="8" fontId="2" numFmtId="0" xfId="0" applyAlignment="1" applyFont="1">
      <alignment horizontal="lef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3">
    <tableStyle count="4" pivot="0" name="FromTableCh-style">
      <tableStyleElement dxfId="1" type="headerRow"/>
      <tableStyleElement dxfId="2" type="firstRowStripe"/>
      <tableStyleElement dxfId="3" type="secondRowStripe"/>
      <tableStyleElement dxfId="4" size="0" type="wholeTable"/>
    </tableStyle>
    <tableStyle count="4" pivot="0" name="Table without comments-style">
      <tableStyleElement dxfId="1" type="headerRow"/>
      <tableStyleElement dxfId="2" type="firstRowStripe"/>
      <tableStyleElement dxfId="3" type="secondRowStripe"/>
      <tableStyleElement dxfId="4" size="0" type="wholeTable"/>
    </tableStyle>
    <tableStyle count="2" pivot="0" name="Paper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 Montefinese" id="{abd3fe71-366a-47a0-af72-6fd43c9d084b}" providerId="google-sheets"/>
  <x18tc:person displayName="Ettore Ambrosini" id="{121f8d5d-6286-45c2-8cb0-49a999bdc0bb}" providerId="google-sheets"/>
  <x18tc:person displayName="Erin Buchanan" id="{56133ecc-85d5-4f02-baaf-30bfde1b7ad4}" providerId="google-sheets"/>
  <x18tc:person displayName="Giada Viviani" id="{cb6b7908-6276-429d-a46c-d5c46b9adfbe}" providerId="google-sheets"/>
  <x18tc:person displayName="Irene Di Pietro" id="{6b45b3ca-ac00-4ddb-8c6b-3b2263110b5a}" providerId="google-sheets"/>
</x18tc:personList>
</file>

<file path=xl/tables/table1.xml><?xml version="1.0" encoding="utf-8"?>
<table xmlns="http://schemas.openxmlformats.org/spreadsheetml/2006/main" ref="A2:AE63" displayName="Tabella_1" name="Tabella_1" id="1">
  <autoFilter ref="$A$2:$AE$63"/>
  <tableColumns count="31">
    <tableColumn name="#" id="1"/>
    <tableColumn name="Year/Author/Journal" id="2"/>
    <tableColumn name="Column 29" id="3"/>
    <tableColumn name="Column 30" id="4"/>
    <tableColumn name="Column 31" id="5"/>
    <tableColumn name="DOI" id="6"/>
    <tableColumn name="Language" id="7"/>
    <tableColumn name="Stimuli" id="8"/>
    <tableColumn name="# Stim" id="9"/>
    <tableColumn name="Stim notes" id="10"/>
    <tableColumn name="# SS" id="11"/>
    <tableColumn name="SS notes" id="12"/>
    <tableColumn name="SS/Stim" id="13"/>
    <tableColumn name="Granularity" id="14"/>
    <tableColumn name="Anchors" id="15"/>
    <tableColumn name="Additional Instructions Info" id="16"/>
    <tableColumn name="Instructions derived from" id="17"/>
    <tableColumn name="Measure declared by the authors" id="18"/>
    <tableColumn name="Measure interpreted by us" id="19"/>
    <tableColumn name="Data cleaning" id="20"/>
    <tableColumn name="Reliability" id="21"/>
    <tableColumn name="Rel Meth" id="22"/>
    <tableColumn name="Validity" id="23"/>
    <tableColumn name="Val Meth" id="24"/>
    <tableColumn name="Other Meas" id="25"/>
    <tableColumn name="RawData link" id="26"/>
    <tableColumn name="Database link" id="27"/>
    <tableColumn name="NOTE" id="28"/>
    <tableColumn name="COMMUNICATIONS WITH AUTHORS" id="29"/>
    <tableColumn name="Check" id="30"/>
    <tableColumn name="erin" id="31"/>
  </tableColumns>
  <tableStyleInfo name="FromTableCh-style" showColumnStripes="0" showFirstColumn="1" showLastColumn="1" showRowStripes="1"/>
</table>
</file>

<file path=xl/tables/table2.xml><?xml version="1.0" encoding="utf-8"?>
<table xmlns="http://schemas.openxmlformats.org/spreadsheetml/2006/main" ref="A2:AA63" displayName="Tabella" name="Tabella" id="2">
  <autoFilter ref="$A$2:$AA$63"/>
  <tableColumns count="27">
    <tableColumn name="#" id="1"/>
    <tableColumn name="Year/Author/Journal" id="2"/>
    <tableColumn name="DOI" id="3"/>
    <tableColumn name="Language" id="4"/>
    <tableColumn name="Stimuli" id="5"/>
    <tableColumn name="# Stim" id="6"/>
    <tableColumn name="Stim notes" id="7"/>
    <tableColumn name="# SS" id="8"/>
    <tableColumn name="SS notes" id="9"/>
    <tableColumn name="SS/Stim" id="10"/>
    <tableColumn name="Granularity" id="11"/>
    <tableColumn name="Anchors" id="12"/>
    <tableColumn name="Additional Instructions Info" id="13"/>
    <tableColumn name="Instructions derived from" id="14"/>
    <tableColumn name="Measure declared by the authors" id="15"/>
    <tableColumn name="Measure interpreted by us" id="16"/>
    <tableColumn name="Data cleaning" id="17"/>
    <tableColumn name="Reliability" id="18"/>
    <tableColumn name="Rel Meth" id="19"/>
    <tableColumn name="Validity" id="20"/>
    <tableColumn name="Val Meth" id="21"/>
    <tableColumn name="Other Meas" id="22"/>
    <tableColumn name="RawData link" id="23"/>
    <tableColumn name="Database link" id="24"/>
    <tableColumn name="NOTE" id="25"/>
    <tableColumn name="COMMUNICATIONS WITH AUTHORS" id="26"/>
    <tableColumn name="Check" id="27"/>
  </tableColumns>
  <tableStyleInfo name="Table without comments-style" showColumnStripes="0" showFirstColumn="1" showLastColumn="1" showRowStripes="1"/>
</table>
</file>

<file path=xl/tables/table3.xml><?xml version="1.0" encoding="utf-8"?>
<table xmlns="http://schemas.openxmlformats.org/spreadsheetml/2006/main" headerRowCount="0" ref="A21:W21" displayName="Table_1" name="Table_1" id="3">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2" dT="2026-03-22T14:02:54.00" personId="{abd3fe71-366a-47a0-af72-6fd43c9d084b}" id="{68794157-b356-46dd-b9aa-dabf9166220c}" done="0">
    <x18tc:text xml:space="preserve">estrarre info origine istruzioni</x18tc:text>
  </x18tc:threadedComment>
  <x18tc:threadedComment ref="P2" dT="2026-03-26T13:17:54.00" personId="{abd3fe71-366a-47a0-af72-6fd43c9d084b}" id="{8605ab3b-4b04-476f-8f24-d4c91654e921}" parentId="{68794157-b356-46dd-b9aa-dabf9166220c}">
    <x18tc:text xml:space="preserve">for the network graph</x18tc:text>
  </x18tc:threadedComment>
  <x18tc:threadedComment ref="L30" dT="2025-11-21T15:31:52.00" personId="{6b45b3ca-ac00-4ddb-8c6b-3b2263110b5a}" id="{367534df-c37e-4608-830b-668b7b61c895}" done="0">
    <x18tc:text xml:space="preserve">4 age groups</x18tc:text>
  </x18tc:threadedComment>
  <x18tc:threadedComment ref="L30" dT="2026-02-11T14:15:15.00" personId="{abd3fe71-366a-47a0-af72-6fd43c9d084b}" id="{8b7bd35e-d534-40cd-8e64-5dda8162d75e}" parentId="{367534df-c37e-4608-830b-668b7b61c895}">
    <x18tc:text xml:space="preserve">sistemato, grazie!</x18tc:text>
  </x18tc:threadedComment>
  <x18tc:threadedComment ref="M51" dT="2025-07-24T07:58:26.00" personId="{abd3fe71-366a-47a0-af72-6fd43c9d084b}" id="{c7332bdf-32df-4f6b-8002-31167f5aad79}" done="1">
    <x18tc:text xml:space="preserve">The other version of the questionnaire was completed by 200 participants (161 females and 39 males, with a mean age of 22.2 years, SD = 5.3), who gave ratings of concreteness and familiarity for the same words. Each version of the questionnaire was divided into eight answer sheets, which contained 47 words on average. Participants were randomly assigned to one of the eight answer sheets.</x18tc:text>
  </x18tc:threadedComment>
  <x18tc:threadedComment ref="G2" dT="2026-03-22T14:01:01.00" personId="{abd3fe71-366a-47a0-af72-6fd43c9d084b}" id="{2de2b60f-6b1d-4ac4-9671-11bde3367777}" done="1">
    <x18tc:text xml:space="preserve">aggiungere variante</x18tc:text>
  </x18tc:threadedComment>
  <x18tc:threadedComment ref="T5" dT="2026-02-17T20:34:22.00" personId="{abd3fe71-366a-47a0-af72-6fd43c9d084b}" id="{7e3a6d9d-e33d-4023-88bb-29d2d545dd60}" done="1">
    <x18tc:text xml:space="preserve">qui ho sottolineato in rosso la parte che forse toglierei perché ci interessano i criteri però poi questi valori sono su tutti i rating (non so forse ci dicono poco sulla familiarità).</x18tc:text>
  </x18tc:threadedComment>
  <x18tc:threadedComment ref="I30" dT="2025-11-21T15:30:55.00" personId="{6b45b3ca-ac00-4ddb-8c6b-3b2263110b5a}" id="{a944e4cd-f2f1-439f-8708-139c2decb7f0}" done="1">
    <x18tc:text xml:space="preserve">1238</x18tc:text>
  </x18tc:threadedComment>
  <x18tc:threadedComment ref="K3" dT="2025-07-21T07:34:08.00" personId="{abd3fe71-366a-47a0-af72-6fd43c9d084b}" id="{d1545f58-3a1e-4a4b-a313-9fdf7fc359d3}" done="1">
    <x18tc:text xml:space="preserve">143 (after cleaning)</x18tc:text>
  </x18tc:threadedComment>
  <x18tc:threadedComment ref="W12" dT="2026-02-20T20:44:49.00" personId="{abd3fe71-366a-47a0-af72-6fd43c9d084b}" id="{2ef56a00-3d56-464e-9bf5-2749b0e5bed7}" done="0">
    <x18tc:text xml:space="preserve">ho solo un dubbio se riportare tutti i beta dei modelli di regressione. Per ora ho messo solo i valori tabella 2 e 3 (il range)</x18tc:text>
  </x18tc:threadedComment>
  <x18tc:threadedComment ref="W12" dT="2026-04-06T15:59:59.00" personId="{121f8d5d-6286-45c2-8cb0-49a999bdc0bb}" id="{5dd76d77-f74e-4032-8533-ec0c643c50d8}" parentId="{2ef56a00-3d56-464e-9bf5-2749b0e5bed7}">
    <x18tc:text xml:space="preserve">mmmm tab 3 no...
dobbiam parlare di queto</x18tc:text>
  </x18tc:threadedComment>
  <x18tc:threadedComment ref="J35" dT="2025-01-27T13:49:38.00" personId="{abd3fe71-366a-47a0-af72-6fd43c9d084b}" id="{a05919bf-8f67-4067-a838-0e8672ae0fb6}" done="1">
    <x18tc:text xml:space="preserve">ha le traduzioni inglesi degli stimoli</x18tc:text>
  </x18tc:threadedComment>
  <x18tc:threadedComment ref="AC24" dT="2026-02-24T14:23:03.00" personId="{56133ecc-85d5-4f02-baaf-30bfde1b7ad4}" id="{cee79eee-5dbc-4493-89bb-fc4c1b4cf216}" done="0">
    <x18tc:text xml:space="preserve">dave retired but mike cortese has not</x18tc:text>
  </x18tc:threadedComment>
  <x18tc:threadedComment ref="AC24" dT="2026-02-24T14:23:28.00" personId="{56133ecc-85d5-4f02-baaf-30bfde1b7ad4}" id="{51205971-6497-4023-b02e-09aa5fbb2552}" parentId="{cee79eee-5dbc-4493-89bb-fc4c1b4cf216}">
    <x18tc:text xml:space="preserve">mcortese@unomaha.edu</x18tc:text>
  </x18tc:threadedComment>
  <x18tc:threadedComment ref="AC24" dT="2026-02-25T22:12:16.00" personId="{abd3fe71-366a-47a0-af72-6fd43c9d084b}" id="{14ee7701-d817-4aaa-9986-723bedda83de}" parentId="{cee79eee-5dbc-4493-89bb-fc4c1b4cf216}">
    <x18tc:text xml:space="preserve">Dave sent me the file, but we still need to check whether we’re allowed to upload it to OSF or to the ManyNorms folder, and then add the link to this table. We should think about the best option. I’ll come back to these studies once I finish this round of the review. I’ll leave this as the final task 😉</x18tc:text>
  </x18tc:threadedComment>
  <x18tc:threadedComment ref="I44" dT="2025-07-23T08:13:00.00" personId="{abd3fe71-366a-47a0-af72-6fd43c9d084b}" id="{8204b3bf-19ea-4878-b7b2-6abb5616abef}" done="1">
    <x18tc:text xml:space="preserve">10515?</x18tc:text>
  </x18tc:threadedComment>
  <x18tc:threadedComment ref="K7" dT="2025-02-04T12:10:50.00" personId="{abd3fe71-366a-47a0-af72-6fd43c9d084b}" id="{0858345f-f3fd-4eea-a6a0-2d43465f9be5}" done="1">
    <x18tc:text xml:space="preserve">/4? Perché le variabili valutate sono 4 e i ss valutavano una sola variabile</x18tc:text>
  </x18tc:threadedComment>
  <x18tc:threadedComment ref="V14" dT="2025-01-23T07:52:07.00" personId="{abd3fe71-366a-47a0-af72-6fd43c9d084b}" id="{562e98c0-918b-4ad6-bd01-2667faadbd7b}" done="0">
    <x18tc:text xml:space="preserve">no info se hanno corretto con la formula Spearman-Brown</x18tc:text>
  </x18tc:threadedComment>
  <x18tc:threadedComment ref="M53" dT="2026-02-12T15:32:35.00" personId="{cb6b7908-6276-429d-a46c-d5c46b9adfbe}" id="{531c9fce-48b1-491d-9266-aeef25b9c92b}" done="0">
    <x18tc:text xml:space="preserve">perchè 15? io direi solo 38 (visto che non dicono poi nulla su data cleaning )</x18tc:text>
  </x18tc:threadedComment>
  <x18tc:threadedComment ref="O45" dT="2025-01-27T14:51:00.00" personId="{abd3fe71-366a-47a0-af72-6fd43c9d084b}" id="{7f7d63cb-bc43-47eb-b743-1f7195a3f734}" done="1">
    <x18tc:text xml:space="preserve">the highest value corresponds to being words that are completely familiar.</x18tc:text>
  </x18tc:threadedComment>
  <x18tc:threadedComment ref="W53" dT="2026-02-12T16:09:52.00" personId="{cb6b7908-6276-429d-a46c-d5c46b9adfbe}" id="{7d062083-70ab-4d06-b4f5-98c0e35b6984}" done="0">
    <x18tc:text xml:space="preserve">da cambiare, tenere conto solo della colonna Fam di tab. 4 (i valori che ci sono dovrebbero essere di studi che pure avevano fam)</x18tc:text>
  </x18tc:threadedComment>
  <x18tc:threadedComment ref="W53" dT="2026-02-12T22:09:29.00" personId="{abd3fe71-366a-47a0-af72-6fd43c9d084b}" id="{9c497b59-fa41-40c0-8dad-6320ce9d8e05}" parentId="{7d062083-70ab-4d06-b4f5-98c0e35b6984}">
    <x18tc:text xml:space="preserve">qui ho aggiunto anche la correlazione con le altre misure nel database dividendole in due tipi. Per il confronto della familiarità del database con la familiarità in altre lingue ho messo il range di variabilità della r. Secondo me non serve metterle tutte e 12.</x18tc:text>
  </x18tc:threadedComment>
  <x18tc:threadedComment ref="W24" dT="2026-02-25T22:06:34.00" personId="{abd3fe71-366a-47a0-af72-6fd43c9d084b}" id="{e560284f-6e07-4d41-b5f8-b4ec635e74b1}" done="0">
    <x18tc:text xml:space="preserve">should we have to include the multiple regression results?</x18tc:text>
  </x18tc:threadedComment>
  <x18tc:threadedComment ref="W24" dT="2026-04-06T15:49:30.00" personId="{121f8d5d-6286-45c2-8cb0-49a999bdc0bb}" id="{8c98a09d-f793-43e2-9bcf-500491179ba2}" parentId="{e560284f-6e07-4d41-b5f8-b4ec635e74b1}">
    <x18tc:text xml:space="preserve">nope</x18tc:text>
  </x18tc:threadedComment>
  <x18tc:threadedComment ref="T32" dT="2026-02-11T15:14:41.00" personId="{cb6b7908-6276-429d-a46c-d5c46b9adfbe}" id="{2a0b61f7-1285-4e9a-a66d-811123892b90}" done="0">
    <x18tc:text xml:space="preserve">6 participants excluded for invariant responses
5 for mean scores ±3.5 SD from the session mean
ma non ho trovato "having excessive response times"</x18tc:text>
  </x18tc:threadedComment>
  <x18tc:threadedComment ref="T32" dT="2026-02-12T21:38:01.00" personId="{abd3fe71-366a-47a0-af72-6fd43c9d084b}" id="{623f14a6-b7b6-4146-9837-2ff52a226998}" parentId="{2a0b61f7-1285-4e9a-a66d-811123892b90}">
    <x18tc:text xml:space="preserve">fatto. Ho sistemato anche l'eliminazione dei singoli rating in base ai due criteri nell'articolo</x18tc:text>
  </x18tc:threadedComment>
  <x18tc:threadedComment ref="M32" dT="2026-02-11T15:17:03.00" personId="{cb6b7908-6276-429d-a46c-d5c46b9adfbe}" id="{d5ebc937-0eaa-4cbd-b903-001bd046f68a}" done="0">
    <x18tc:text xml:space="preserve">questi sono i dati per each session (che contiene 155 words)
però non essendo ripetute le parole nelle 24 sessioni alla fine penso sia ok dire cosi</x18tc:text>
  </x18tc:threadedComment>
  <x18tc:threadedComment ref="M32" dT="2026-02-12T21:21:15.00" personId="{abd3fe71-366a-47a0-af72-6fd43c9d084b}" id="{ca5a0590-0b5c-48ca-a90b-7bb8195b6263}" parentId="{d5ebc937-0eaa-4cbd-b903-001bd046f68a}">
    <x18tc:text xml:space="preserve">ok</x18tc:text>
  </x18tc:threadedComment>
  <x18tc:threadedComment ref="AA8" dT="2025-02-11T07:31:27.00" personId="{abd3fe71-366a-47a0-af72-6fd43c9d084b}" id="{f312df3d-f8ec-4a0c-8417-6e0447e837f6}" done="1">
    <x18tc:text xml:space="preserve">a me nn si collega xké dice sito nn sicuro</x18tc:text>
  </x18tc:threadedComment>
  <x18tc:threadedComment ref="M6" dT="2026-02-17T21:29:00.00" personId="{abd3fe71-366a-47a0-af72-6fd43c9d084b}" id="{e90f1e93-0eba-4a16-837d-0a6efe653b33}" done="0">
    <x18tc:text xml:space="preserve">prima c'era 42, ma nel paper è scritto: In the final data set, 99.98% of the 2,061 words were rated by at
least 20 older adults and 20 younger adults for each dimension.</x18tc:text>
  </x18tc:threadedComment>
  <x18tc:threadedComment ref="Z13" dT="2025-01-15T09:51:10.00" personId="{abd3fe71-366a-47a0-af72-6fd43c9d084b}" id="{a54d3423-2d21-4e62-9024-2644c6c1e6a3}" done="0">
    <x18tc:text xml:space="preserve">Sent email to the authors to provide link to the data (if available as they write in the paper)
Ho chiesto + dettagli ma questo è quello che mi ha detto l'autrice: when we wrote that paper, the Croatian lexical database had 1,211 words that were evaluated based on four psycholinguistic features - imageabiity, frequency, type and length of words, and only later we expanded the database to 3,000 words and to 7 features - we added familiarity, age of acquisition and concreteness to the existing features. Unfortunately, we did not analyze the database later, because the main purpose of creating the database was that doctoral students, researchers and professionals have a source of data for designing experiments or some professional activities when they need information about the features of words for the preparation of test material.</x18tc:text>
  </x18tc:threadedComment>
  <x18tc:threadedComment ref="M58" dT="2025-01-27T15:28:32.00" personId="{abd3fe71-366a-47a0-af72-6fd43c9d084b}" id="{1292ed6f-7c50-4e56-a51d-0bde1d373601}" done="1">
    <x18tc:text xml:space="preserve">please, check on the raw data</x18tc:text>
  </x18tc:threadedComment>
  <x18tc:threadedComment ref="G32" dT="2026-02-11T14:45:26.00" personId="{cb6b7908-6276-429d-a46c-d5c46b9adfbe}" id="{e616a7eb-9b06-45a0-b292-1142d2539529}" done="1">
    <x18tc:text xml:space="preserve">non so se rilevante ma loro specificano French Canadian</x18tc:text>
  </x18tc:threadedComment>
  <x18tc:threadedComment ref="G32" dT="2026-02-12T21:20:32.00" personId="{abd3fe71-366a-47a0-af72-6fd43c9d084b}" id="{2b362c69-a553-4bd9-a670-a1e0d4b0a61d}" parentId="{e616a7eb-9b06-45a0-b292-1142d2539529}">
    <x18tc:text xml:space="preserve">ok</x18tc:text>
  </x18tc:threadedComment>
  <x18tc:threadedComment ref="R32" dT="2026-02-11T14:53:07.00" personId="{cb6b7908-6276-429d-a46c-d5c46b9adfbe}" id="{b726f794-4865-43e6-a70d-45ce36dbd7b9}" done="0">
    <x18tc:text xml:space="preserve">loro scrivono "The first objective (Study 1) is to provide French Canadian norms for conceptual familiarity for..." quindi qui io metterei Fam</x18tc:text>
  </x18tc:threadedComment>
  <x18tc:threadedComment ref="R32" dT="2026-02-12T21:29:30.00" personId="{abd3fe71-366a-47a0-af72-6fd43c9d084b}" id="{092eecce-091e-4b2e-b2f9-5ac367687625}" parentId="{b726f794-4865-43e6-a70d-45ce36dbd7b9}">
    <x18tc:text xml:space="preserve">fatto</x18tc:text>
  </x18tc:threadedComment>
  <x18tc:threadedComment ref="A9" dT="2025-08-11T12:00:40.00" personId="{abd3fe71-366a-47a0-af72-6fd43c9d084b}" id="{b52c3e44-cbd9-489c-a24a-18e6fcadde28}" done="0">
    <x18tc:text xml:space="preserve">problematico solo x capire se si riesce a derivare il numero di ss x stimolo</x18tc:text>
  </x18tc:threadedComment>
  <x18tc:threadedComment ref="A9" dT="2026-02-18T13:53:37.00" personId="{abd3fe71-366a-47a0-af72-6fd43c9d084b}" id="{5ea3acc0-31f6-4a0d-90c4-cbf1cf5a39a2}" parentId="{b52c3e44-cbd9-489c-a24a-18e6fcadde28}">
    <x18tc:text xml:space="preserve">fatto</x18tc:text>
  </x18tc:threadedComment>
  <x18tc:threadedComment ref="O50" dT="2025-07-24T08:03:20.00" personId="{abd3fe71-366a-47a0-af72-6fd43c9d084b}" id="{13571811-f9e4-4aa8-ab54-b301b2f37829}" done="1">
    <x18tc:text xml:space="preserve">derivate dalle istruzioni, ma non è chiaro se sulla scala erano segnate. Non ci sono ulteriori informazioni.</x18tc:text>
  </x18tc:threadedComment>
  <x18tc:threadedComment ref="AA7" dT="2025-02-04T15:03:46.00" personId="{abd3fe71-366a-47a0-af72-6fd43c9d084b}" id="{64a6d311-cb49-4967-8324-9be92134c5a7}" done="1">
    <x18tc:text xml:space="preserve">send email to the authors to ask for the database</x18tc:text>
  </x18tc:threadedComment>
  <x18tc:threadedComment ref="A1" dT="2025-07-24T15:02:59.00" personId="{abd3fe71-366a-47a0-af72-6fd43c9d084b}" id="{e01808cd-86d0-4505-ad32-23f300faa80b}" done="0">
    <x18tc:text xml:space="preserve">da eliminare. The paper does not specify the number of participants for the familiarity ratings, which were taken from an existing database (LEXESP).</x18tc:text>
  </x18tc:threadedComment>
  <x18tc:threadedComment ref="AD20" dT="2026-02-11T13:53:05.00" personId="{abd3fe71-366a-47a0-af72-6fd43c9d084b}" id="{c8d56cd1-69c8-45f7-8a1a-100a9adf70ba}" done="1">
    <x18tc:text xml:space="preserve">fatto</x18tc:text>
  </x18tc:threadedComment>
  <x18tc:threadedComment ref="S34" dT="2025-01-24T09:44:21.00" personId="{abd3fe71-366a-47a0-af72-6fd43c9d084b}" id="{2226c4fc-610e-4a8c-b124-bbab474be89e}" done="0">
    <x18tc:text xml:space="preserve">IMPORTANT: Care was taken to make sure that the estimate had been attributed to the concept itself and not the word</x18tc:text>
  </x18tc:threadedComment>
  <x18tc:threadedComment ref="H47" dT="2026-02-14T16:55:35.00" personId="{6b45b3ca-ac00-4ddb-8c6b-3b2263110b5a}" id="{0301b232-0f12-4186-b1ea-5250b1a14823}" done="0">
    <x18tc:text xml:space="preserve">content words that cover the following five grammatical classes: nouns (N), adjectives (ADJ), verbs (V), adverbs (ADV), and interjections (INT), although the majority are nouns and adjectives.</x18tc:text>
  </x18tc:threadedComment>
  <x18tc:threadedComment ref="O14" dT="2025-01-23T07:42:25.00" personId="{abd3fe71-366a-47a0-af72-6fd43c9d084b}" id="{30a53f85-94ae-4068-879f-bbc7890147ed}" done="0">
    <x18tc:text xml:space="preserve">subf was administered after concreteness dimension. Can increase the "familiarity" of the concept? Perhaps familiarity as it is described here not, but familiarity in general yes...</x18tc:text>
  </x18tc:threadedComment>
  <x18tc:threadedComment ref="M38" dT="2025-07-22T15:06:10.00" personId="{abd3fe71-366a-47a0-af72-6fd43c9d084b}" id="{418f02dd-4060-4f6f-930f-b1151ec92ca3}" done="1">
    <x18tc:text xml:space="preserve">email ilenia.falcinelli@uniroma1.it.</x18tc:text>
  </x18tc:threadedComment>
  <x18tc:threadedComment ref="X3" dT="2025-01-31T08:36:27.00" personId="{abd3fe71-366a-47a0-af72-6fd43c9d084b}" id="{80f8e17a-aac7-4d08-b762-01ac223e609d}" done="0">
    <x18tc:text xml:space="preserve">dice che confronta anche queste correlazioni con quelle trovate in Yao su un subset di parole, ma il fatto è che non mette le correlazioni, dice solo che "the highly statistically significant relationships between variables found in the current study (p’s &lt; 0.01) were all found in Yao et al. [38]" quindi non mi è chiaro se le ha confrontate direttamente o no</x18tc:text>
  </x18tc:threadedComment>
  <x18tc:threadedComment ref="X3" dT="2026-02-10T15:52:33.00" personId="{121f8d5d-6286-45c2-8cb0-49a999bdc0bb}" id="{b3ac9dc3-7671-403f-a81b-b4600a949b24}" parentId="{80f8e17a-aac7-4d08-b762-01ac223e609d}">
    <x18tc:text xml:space="preserve">Non mi pare abbiano fatto corr con Yao. Mi pare che abbiano verificato che le loro correlazioni tra misure fossero presenti anche lì</x18tc:text>
  </x18tc:threadedComment>
  <x18tc:threadedComment ref="I32" dT="2026-02-11T14:55:14.00" personId="{cb6b7908-6276-429d-a46c-d5c46b9adfbe}" id="{77127ba6-8759-4eaf-8185-9ee6f8ef3c03}" done="1">
    <x18tc:text xml:space="preserve">Initially 3600 (same as Desrochers 2009)</x18tc:text>
  </x18tc:threadedComment>
  <x18tc:threadedComment ref="I32" dT="2026-02-11T15:23:41.00" personId="{cb6b7908-6276-429d-a46c-d5c46b9adfbe}" id="{f6995b4d-f69b-4737-85b6-a6f38cd79acd}" parentId="{77127ba6-8759-4eaf-8185-9ee6f8ef3c03}">
    <x18tc:text xml:space="preserve">then excluded 4 words because
Contrassegnato come risolto</x18tc:text>
  </x18tc:threadedComment>
  <x18tc:threadedComment ref="M30" dT="2025-11-21T16:24:12.00" personId="{6b45b3ca-ac00-4ddb-8c6b-3b2263110b5a}" id="{4d4be34e-3a08-49e9-a75b-4a9548c558c5}" done="0">
    <x18tc:text xml:space="preserve">30 (partecipanti minimi)×4 (gruppi di età)=120 valutatori totali per ogni parola
"the 1238 participants were divided randomly
into eight groups, each group being given one version of the
questionnaire, in which they were asked to rate the words in
terms of subjective frequency or imageability. In short, each
version of the questionnaire contained between 320 and 322
words and was completed by at least 30 participants in each of
the four age groups."</x18tc:text>
  </x18tc:threadedComment>
  <x18tc:threadedComment ref="M30" dT="2026-02-11T14:14:10.00" personId="{abd3fe71-366a-47a0-af72-6fd43c9d084b}" id="{9bcc901d-a50e-494e-a35a-3359dcbe815e}" parentId="{4d4be34e-3a08-49e9-a75b-4a9548c558c5}">
    <x18tc:text xml:space="preserve">scaricato i file dei dati e il minimo di ss che hanno per parola è 137 (across age)</x18tc:text>
  </x18tc:threadedComment>
  <x18tc:threadedComment ref="P14" dT="2025-01-23T07:44:21.00" personId="{abd3fe71-366a-47a0-af72-6fd43c9d084b}" id="{a4e11b14-d02b-42a1-96c9-572b56556935}" done="0">
    <x18tc:text xml:space="preserve">The questionnaire was administered using the
traditional pen-and-paper method during regular classes. No
specific time limit was set.</x18tc:text>
  </x18tc:threadedComment>
  <x18tc:threadedComment ref="W39" dT="2025-11-21T11:46:58.00" personId="{6b45b3ca-ac00-4ddb-8c6b-3b2263110b5a}" id="{c3f32626-56a2-4dd1-b8be-f12278352bdc}" done="0">
    <x18tc:text xml:space="preserve">Penso che qua ci sia un errore nel paper: la corr tra FAM e MoA nel testo è indicata come -0.68 ma nella tabella sotto è -0.62 e calcolandola dai dati è -0.615 quindi -0.62. Quindi penso che vada modificata la corr tra fam e MoA in -0.62. Inoltre non capisco da dove abbiate preso gli altri valori perchè nel testo non l'ho trovati e ricalcolandoli non vengono uguali</x18tc:text>
  </x18tc:threadedComment>
  <x18tc:threadedComment ref="W39" dT="2026-02-11T14:38:16.00" personId="{abd3fe71-366a-47a0-af72-6fd43c9d084b}" id="{9894efdd-1f34-4a73-b9d3-af728fc0d3c2}" parentId="{c3f32626-56a2-4dd1-b8be-f12278352bdc}">
    <x18tc:text xml:space="preserve">0.68 è la correlazione con il database in inglese sulle parole comuni
(MRC). Sistemo questa sezione</x18tc:text>
  </x18tc:threadedComment>
  <x18tc:threadedComment ref="W39" dT="2026-02-11T14:43:51.00" personId="{abd3fe71-366a-47a0-af72-6fd43c9d084b}" id="{64fa8a13-73e4-48f2-bd72-1a999a58513f}" parentId="{c3f32626-56a2-4dd1-b8be-f12278352bdc}">
    <x18tc:text xml:space="preserve">stavo anche controllando se l'avevo calcolata dal database che è probabile, ma poi ho pensato che comunque andrebbe cancellata xké non è stata riportata dai ricercatori ;)</x18tc:text>
  </x18tc:threadedComment>
  <x18tc:threadedComment ref="O7" dT="2025-02-04T14:38:28.00" personId="{abd3fe71-366a-47a0-af72-6fd43c9d084b}" id="{6d2fd153-e5ca-4932-b6ef-493079de1805}" done="1">
    <x18tc:text xml:space="preserve">non ho trovato info. Dice ke si rifa a Barca 2002. Scriverei agli autori.</x18tc:text>
  </x18tc:threadedComment>
  <x18tc:threadedComment ref="AB2" dT="2026-02-11T14:55:48.00" personId="{abd3fe71-366a-47a0-af72-6fd43c9d084b}" id="{17c452f0-71e6-4b13-8683-b1be91200ed5}" done="0">
    <x18tc:text xml:space="preserve">to be honest I didn't check for all the papers if we have the english translations of the stimuli, but if this info can be useful for some analyses I'll do it ;)</x18tc:text>
  </x18tc:threadedComment>
  <x18tc:threadedComment ref="S53" dT="2026-02-12T15:28:30.00" personId="{cb6b7908-6276-429d-a46c-d5c46b9adfbe}" id="{a0fa275c-f841-4c26-b6b6-52791da9e15a}" done="0">
    <x18tc:text xml:space="preserve">io forse direi un mix tra Fam e sFreq</x18tc:text>
  </x18tc:threadedComment>
  <x18tc:threadedComment ref="S53" dT="2026-02-12T21:57:22.00" personId="{abd3fe71-366a-47a0-af72-6fd43c9d084b}" id="{9d6ee5a6-9864-4d14-9167-a89f87cbec1a}" parentId="{a0fa275c-f841-4c26-b6b6-52791da9e15a}">
    <x18tc:text xml:space="preserve">fatto</x18tc:text>
  </x18tc:threadedComment>
  <x18tc:threadedComment ref="T47" dT="2026-02-14T16:47:26.00" personId="{6b45b3ca-ac00-4ddb-8c6b-3b2263110b5a}" id="{91d8dbe0-4228-4bf0-9ea9-3e7e202acfb4}" done="0">
    <x18tc:text xml:space="preserve">Qua come è stato fatto per gli altri paper metterei: Subjects: excluded participants whose native language was not European Portuguese or whose nationality was not Portuguese (n = 124); participants who did not answer more than 33% of the items (n=96) or who showed nondiscriminative/random response patterns were excluded (n=88). From initial sample of 2,665 to normative sample of 2,357 participants.  Ratings: Ratings from participants who indicated they did not know a word were excluded. Any ratings 2.5 SDs below or above the mean of each item were eliminated as outliers.</x18tc:text>
  </x18tc:threadedComment>
  <x18tc:threadedComment ref="T47" dT="2026-02-16T14:55:08.00" personId="{abd3fe71-366a-47a0-af72-6fd43c9d084b}" id="{4e789866-953d-48f4-b33e-e556ae56fc43}" parentId="{91d8dbe0-4228-4bf0-9ea9-3e7e202acfb4}">
    <x18tc:text xml:space="preserve">In colonna #ss ho messo il numero di ss pulito (2357) perché è proprio uno dei criteri di selezione degli articoli è che i rating dovevano essere dati da madrelingua. Quindi quel passaggio ho evitato di includerlo.</x18tc:text>
  </x18tc:threadedComment>
  <x18tc:threadedComment ref="M4" dT="2026-02-10T15:58:28.00" personId="{121f8d5d-6286-45c2-8cb0-49a999bdc0bb}" id="{e5cd6d00-77d7-4d78-b0b6-4a52552a870b}" done="1">
    <x18tc:text xml:space="preserve">Checked</x18tc:text>
  </x18tc:threadedComment>
  <x18tc:threadedComment ref="P8" dT="2025-02-11T07:51:23.00" personId="{abd3fe71-366a-47a0-af72-6fd43c9d084b}" id="{e34706a1-e86f-4f01-92ff-f522a35eb2f9}" done="1">
    <x18tc:text xml:space="preserve">1 = never, 2 = once a year, 3 = once a month, 4 = once a week, 5 = once every two days, 6 = once a day, 7 = several times a day</x18tc:text>
  </x18tc:threadedComment>
  <x18tc:threadedComment ref="B13" dT="2025-09-01T09:37:52.00" personId="{abd3fe71-366a-47a0-af72-6fd43c9d084b}" id="{0639c23e-5e71-43cb-b08f-409b4aa6a603}" done="0">
    <x18tc:text xml:space="preserve">dubbio ke possa essere un rivista non peer-reviewed in english, ma AI dice ke lo è quindi lo terrei</x18tc:text>
  </x18tc:threadedComment>
  <x18tc:threadedComment ref="S8" dT="2025-02-11T07:36:38.00" personId="{abd3fe71-366a-47a0-af72-6fd43c9d084b}" id="{5ed6bf80-61be-4e4e-ba2d-495dcb86a31b}" done="1">
    <x18tc:text xml:space="preserve">defined familiarity but it is actually subjective frequency</x18tc:text>
  </x18tc:threadedComment>
  <x18tc:threadedComment ref="W26" dT="2026-02-12T15:10:39.00" personId="{cb6b7908-6276-429d-a46c-d5c46b9adfbe}" id="{a639f36a-4e3b-4f5b-88c5-0a36b3a4ead2}" done="0">
    <x18tc:text xml:space="preserve">aggiungere anche correlazione tra Finnish-American english (non significativa): with personal use, r = .25; correlation with familiarity, r = .24.</x18tc:text>
  </x18tc:threadedComment>
  <x18tc:threadedComment ref="W26" dT="2026-02-13T14:55:41.00" personId="{abd3fe71-366a-47a0-af72-6fd43c9d084b}" id="{ef03fc42-daef-4abb-a768-df94b903cf5e}" parentId="{a639f36a-4e3b-4f5b-88c5-0a36b3a4ead2}">
    <x18tc:text xml:space="preserve">fatto, thanks!</x18tc:text>
  </x18tc:threadedComment>
  <x18tc:threadedComment ref="Y57" dT="2026-02-22T10:33:40.00" personId="{cb6b7908-6276-429d-a46c-d5c46b9adfbe}" id="{6f9059c8-736f-471f-927b-45e5ee1123dc}" done="0">
    <x18tc:text xml:space="preserve">- AoA and imageability + word length and morpheme count for each word
- Frequency values taken from Goz (2003) --&gt; quindi non raccolti qui
- Name agreement and complexity ratings for each picture</x18tc:text>
  </x18tc:threadedComment>
  <x18tc:threadedComment ref="Y57" dT="2026-02-22T10:35:43.00" personId="{cb6b7908-6276-429d-a46c-d5c46b9adfbe}" id="{8b94f5ca-3426-400f-8cc2-74196628af73}" parentId="{6f9059c8-736f-471f-927b-45e5ee1123dc}">
    <x18tc:text xml:space="preserve">anche se poi scrivono "Word length and frequency values were also determined."</x18tc:text>
  </x18tc:threadedComment>
  <x18tc:threadedComment ref="M47" dT="2026-02-14T17:10:52.00" personId="{6b45b3ca-ac00-4ddb-8c6b-3b2263110b5a}" id="{d69c0fc1-101f-4c1d-a25a-c3cb715f3d62}" done="0">
    <x18tc:text xml:space="preserve">però facendo 215351 (che sono i valid ratings per sFreq) / 3800 che è il numero di parola viene 56.7</x18tc:text>
  </x18tc:threadedComment>
  <x18tc:threadedComment ref="M47" dT="2026-02-16T14:56:55.00" personId="{abd3fe71-366a-47a0-af72-6fd43c9d084b}" id="{099b02c4-0390-4376-aef1-5d877f3590db}" parentId="{d69c0fc1-101f-4c1d-a25a-c3cb715f3d62}">
    <x18tc:text xml:space="preserve">Metto allora come fatto per il paper sotto: 
42 to 77
(mean= 56.7)</x18tc:text>
  </x18tc:threadedComment>
  <x18tc:threadedComment ref="V32" dT="2026-02-11T15:43:02.00" personId="{cb6b7908-6276-429d-a46c-d5c46b9adfbe}" id="{8a9e1179-46ed-4b89-8a17-4d60199344f0}" done="0">
    <x18tc:text xml:space="preserve">2 intrastudy reliabilities
1) within-words stimulus reliability: split-half correlations of mean rating values --&gt; corrected Pearson correlations + Cronbach's alpha
2) participants' response consistency: test-retest on repeated words</x18tc:text>
  </x18tc:threadedComment>
  <x18tc:threadedComment ref="V32" dT="2026-02-11T15:46:33.00" personId="{cb6b7908-6276-429d-a46c-d5c46b9adfbe}" id="{dc8eb60d-5eb2-4ac0-abbd-245226a9fe64}" parentId="{8a9e1179-46ed-4b89-8a17-4d60199344f0}">
    <x18tc:text xml:space="preserve">solo se vogliamo essere piu precisi sennò va bene cosi com'è</x18tc:text>
  </x18tc:threadedComment>
  <x18tc:threadedComment ref="V32" dT="2026-02-12T21:40:41.00" personId="{abd3fe71-366a-47a0-af72-6fd43c9d084b}" id="{7e79749d-3f5b-4cb5-bd61-0a53853aa2f1}" parentId="{8a9e1179-46ed-4b89-8a17-4d60199344f0}">
    <x18tc:text xml:space="preserve">mi sembra più chiaro come sta. Ho aggiunto però i numeri dei vari metodi così da riportarli anche nella colonna dei valori sull'affidabilità ;)</x18tc:text>
  </x18tc:threadedComment>
  <x18tc:threadedComment ref="N26" dT="2026-02-12T14:51:56.00" personId="{cb6b7908-6276-429d-a46c-d5c46b9adfbe}" id="{64e40fd4-eb07-43ca-b172-eb53d1ec2cb5}" done="0">
    <x18tc:text xml:space="preserve">fully sliding visual analogue scale--&gt; then responses converted to a score from 0 to 9 by the program</x18tc:text>
  </x18tc:threadedComment>
  <x18tc:threadedComment ref="N26" dT="2026-02-13T14:52:47.00" personId="{abd3fe71-366a-47a0-af72-6fd43c9d084b}" id="{a586a45c-e07c-4b11-954c-1974373c6e2f}" parentId="{64e40fd4-eb07-43ca-b172-eb53d1ec2cb5}">
    <x18tc:text xml:space="preserve">fatto</x18tc:text>
  </x18tc:threadedComment>
  <x18tc:threadedComment ref="S32" dT="2026-02-11T15:05:31.00" personId="{cb6b7908-6276-429d-a46c-d5c46b9adfbe}" id="{c5359fce-0654-4051-85cf-f05e8ddceb45}" done="1">
    <x18tc:text xml:space="preserve">"To what extent do you feel familiar with the concept of DOG?" quindi Fam qui dovrebbe essere ok</x18tc:text>
  </x18tc:threadedComment>
  <x18tc:threadedComment ref="N32" dT="2026-02-11T15:07:30.00" personId="{cb6b7908-6276-429d-a46c-d5c46b9adfbe}" id="{1ef39ad4-ebfe-49b4-8461-fdbc45a2c065}" done="1">
    <x18tc:text xml:space="preserve">"scale from 0 (extreme left" to 100 (extreme right)</x18tc:text>
  </x18tc:threadedComment>
  <x18tc:threadedComment ref="AA15" dT="2025-01-24T08:38:05.00" personId="{abd3fe71-366a-47a0-af72-6fd43c9d084b}" id="{3b23e7cd-8b57-4c01-a558-071016387950}" done="1">
    <x18tc:text xml:space="preserve">non so se dobbiamo mettere il link al materiale supplementare oppure il link all'articolo xké il database è il mat sup dell'articolo... io ora ho messo al materiale sup, se dobbiamo mettere all'articolo in pratica è il doi: https://doi.org/10.3758/BRM.40.4.1030</x18tc:text>
    <x18tc:extLst>
      <ext uri="{F7C98A9C-CBB3-438F-8F68-D28B6AF4A901}">
        <xltc2:checksum/>
        <xltc2:hyperlink startIndex="224" length="37" url="https://doi.org/10.3758/BRM.40.4.1030"/>
      </ext>
    </x18tc:extLst>
  </x18tc:threadedComment>
  <x18tc:threadedComment ref="AA15" dT="2026-02-21T16:24:39.00" personId="{cb6b7908-6276-429d-a46c-d5c46b9adfbe}" id="{aed3ab4d-39fe-4aa4-805f-e247ef04df20}" parentId="{3b23e7cd-8b57-4c01-a558-071016387950}">
    <x18tc:text xml:space="preserve">secondo me link a SM
1 reazione in totale
Maria Montefinese ha aggiunto la reazione 👍 (2026-02-23 13:33 PM)</x18tc:text>
  </x18tc:threadedComment>
  <x18tc:threadedComment ref="W32" dT="2026-02-11T15:51:51.00" personId="{cb6b7908-6276-429d-a46c-d5c46b9adfbe}" id="{3993fa80-e0a4-41f8-a26c-1353df96c203}" done="0">
    <x18tc:text xml:space="preserve">da cambiare correlazione con imageability che è .38</x18tc:text>
  </x18tc:threadedComment>
  <x18tc:threadedComment ref="W32" dT="2026-02-12T21:50:36.00" personId="{abd3fe71-366a-47a0-af72-6fd43c9d084b}" id="{929249ac-e793-4fff-ab61-6a64f2a479d5}" parentId="{3993fa80-e0a4-41f8-a26c-1353df96c203}">
    <x18tc:text xml:space="preserve">fatto, grazie!</x18tc:text>
  </x18tc:threadedComment>
  <x18tc:threadedComment ref="Z15" dT="2026-02-21T16:25:16.00" personId="{cb6b7908-6276-429d-a46c-d5c46b9adfbe}" id="{f42e6bd9-a8d5-4388-98bc-0e95b32356bc}" done="0">
    <x18tc:text xml:space="preserve">i raw data stanno nello stesso link del database, ci sono i ratings per tutti i ss
1 reazione in totale
Maria Montefinese ha aggiunto la reazione 👍 (2026-02-23 13:33 PM)</x18tc:text>
  </x18tc:threadedComment>
  <x18tc:threadedComment ref="M3" dT="2026-02-10T15:48:12.00" personId="{121f8d5d-6286-45c2-8cb0-49a999bdc0bb}" id="{b08fdf5f-52d2-4738-a29c-9df0dc77555b}" done="1">
    <x18tc:text xml:space="preserve">Checked</x18tc:text>
  </x18tc:threadedComment>
  <x18tc:threadedComment ref="W57" dT="2026-02-22T10:48:55.00" personId="{cb6b7908-6276-429d-a46c-d5c46b9adfbe}" id="{6e93a37f-63b5-4407-926e-59bf90a32564}" done="0">
    <x18tc:text xml:space="preserve">with frequency: .692
with imageability: .213
with word length: -.124
with AoA: -.545</x18tc:text>
  </x18tc:threadedComment>
  <x18tc:threadedComment ref="AA32" dT="2026-02-11T15:55:37.00" personId="{cb6b7908-6276-429d-a46c-d5c46b9adfbe}" id="{ea600e21-158b-4449-b630-d0dbf07fa4ab}" done="0">
    <x18tc:text xml:space="preserve">link qui è giusto ma nel paper (nell'abstract) è riportato un altro nome che comunque rimanda alla stessa pagina di questo</x18tc:text>
  </x18tc:threadedComment>
  <x18tc:threadedComment ref="AA32" dT="2026-02-12T21:19:40.00" personId="{abd3fe71-366a-47a0-af72-6fd43c9d084b}" id="{d8090236-4739-4758-a689-966d2b9eeb35}" parentId="{ea600e21-158b-4449-b630-d0dbf07fa4ab}">
    <x18tc:text xml:space="preserve">si lo so, per molti paper ho contattato gli autori x farmi dare il link aggiornato</x18tc:text>
  </x18tc:threadedComment>
  <x18tc:threadedComment ref="M26" dT="2026-02-12T14:48:12.00" personId="{cb6b7908-6276-429d-a46c-d5c46b9adfbe}" id="{370fba09-0387-40a4-b597-fab83fd0e286}" done="0">
    <x18tc:text xml:space="preserve">visto che tutti i partecipanti hanno dato ratings di familiarity qui si può mettere 210?</x18tc:text>
  </x18tc:threadedComment>
  <x18tc:threadedComment ref="M26" dT="2026-02-13T14:51:17.00" personId="{abd3fe71-366a-47a0-af72-6fd43c9d084b}" id="{84dc8580-ff3b-4c97-9033-e372c86506c4}" parentId="{370fba09-0387-40a4-b597-fab83fd0e286}">
    <x18tc:text xml:space="preserve">i soggetti valutavano 3 scale alla volta. Quindi solo la metà dei partecipanti per gruppo in teoria valutava la familiarità. Ma non è detto esplicitamente. Quindi forse ci metterei la metà dei ss per gruppo con un ? Ho controllato il database e non c'è il numero di ss per stimolo ma sl M e SD</x18tc:text>
  </x18tc:threadedComment>
  <x18tc:threadedComment ref="M35" dT="2026-02-21T16:59:24.00" personId="{cb6b7908-6276-429d-a46c-d5c46b9adfbe}" id="{4e782c0c-b3bc-4872-801b-ce6bed83c600}" done="0">
    <x18tc:text xml:space="preserve">max 87</x18tc:text>
  </x18tc:threadedComment>
  <x18tc:threadedComment ref="M35" dT="2026-02-23T13:23:10.00" personId="{abd3fe71-366a-47a0-af72-6fd43c9d084b}" id="{e714ef85-a82c-4aee-b052-ef5a72cb08c8}" parentId="{4e782c0c-b3bc-4872-801b-ce6bed83c600}">
    <x18tc:text xml:space="preserve">fatto</x18tc:text>
  </x18tc:threadedComment>
  <x18tc:threadedComment ref="J56" dT="2026-02-15T16:15:16.00" personId="{6b45b3ca-ac00-4ddb-8c6b-3b2263110b5a}" id="{bf288940-f304-400c-bc49-7d48d7e622ce}" done="0">
    <x18tc:text xml:space="preserve">0.36 % of other categories (i.e., adverbs and interjections).</x18tc:text>
  </x18tc:threadedComment>
  <x18tc:threadedComment ref="K26" dT="2026-02-12T14:44:24.00" personId="{cb6b7908-6276-429d-a46c-d5c46b9adfbe}" id="{db499119-afb6-4523-86b9-ed0d43ebd39e}" done="0">
    <x18tc:text xml:space="preserve">può avere senso dividere tra Finnish speakers (304) e English speakers (135)?</x18tc:text>
  </x18tc:threadedComment>
  <x18tc:threadedComment ref="K26" dT="2026-02-12T22:23:48.00" personId="{abd3fe71-366a-47a0-af72-6fd43c9d084b}" id="{29ba7584-fafd-4b14-bd37-421b1e8b8009}" parentId="{db499119-afb6-4523-86b9-ed0d43ebd39e}">
    <x18tc:text xml:space="preserve">fatto</x18tc:text>
  </x18tc:threadedComment>
  <x18tc:threadedComment ref="S6" dT="2025-02-03T12:36:46.00" personId="{abd3fe71-366a-47a0-af72-6fd43c9d084b}" id="{b31b4d1b-99a1-40ac-bf0e-cf6f36d96701}" done="1">
    <x18tc:text xml:space="preserve">it is more subfreq (anke se chiamata familiarità):</x18tc:text>
  </x18tc:threadedComment>
  <x18tc:threadedComment ref="M34" dT="2025-01-27T13:18:55.00" personId="{abd3fe71-366a-47a0-af72-6fd43c9d084b}" id="{ddb036da-1a34-4903-a66d-ce7a1531cc54}" done="1">
    <x18tc:text xml:space="preserve">dice Each of the three lists was rated by 20 new participants e poiché le parole erano divise in 3 liste suppongo che 20 ss hanno valutato ogni parola. MA NON C'è NESSUNA INFO SE HANNO TOLTO QUALCHE SOGGETTO O COME HANNO PULITO I RATING IN QUALKE MODO</x18tc:text>
  </x18tc:threadedComment>
  <x18tc:threadedComment ref="S56" dT="2026-02-15T16:21:29.00" personId="{6b45b3ca-ac00-4ddb-8c6b-3b2263110b5a}" id="{5e06a0b6-171d-47c4-9a18-088f567af8c3}" done="0">
    <x18tc:text xml:space="preserve">In realtà dire che è un mix: "participants were instructed to take into account the extent to which they knew the meaning of a word, as well as the frequency with which they used it. The word mano (“hand”) was used as an example of a very familiar word, whereas quark (“quark”) was the example of a very unfamiliar word."</x18tc:text>
  </x18tc:threadedComment>
  <x18tc:threadedComment ref="S56" dT="2026-02-16T14:44:42.00" personId="{abd3fe71-366a-47a0-af72-6fd43c9d084b}" id="{49514312-537b-4d9e-9540-64561c515afe}" parentId="{5e06a0b6-171d-47c4-9a18-088f567af8c3}">
    <x18tc:text xml:space="preserve">fatto</x18tc:text>
  </x18tc:threadedComment>
  <x18tc:threadedComment ref="AA21" dT="2026-02-25T14:29:55.00" personId="{abd3fe71-366a-47a0-af72-6fd43c9d084b}" id="{b49098c3-ba47-4c4d-a099-53f6a3304621}" done="0">
    <x18tc:text xml:space="preserve">Do I have to write an email to the authors if we can share the database in our folder?</x18tc:text>
  </x18tc:threadedComment>
  <x18tc:threadedComment ref="O16" dT="2025-01-24T08:47:31.00" personId="{abd3fe71-366a-47a0-af72-6fd43c9d084b}" id="{4a49a8eb-06bc-4f9e-a69e-16175d832630}" done="1">
    <x18tc:text xml:space="preserve">derived from De Deyne 2008</x18tc:text>
  </x18tc:threadedComment>
  <x18tc:threadedComment ref="H48" dT="2025-07-23T08:57:16.00" personId="{abd3fe71-366a-47a0-af72-6fd43c9d084b}" id="{7d82848f-c906-46a9-9c8e-2442de9842e6}" done="1">
    <x18tc:text xml:space="preserve">Deverbal compounds are multi-word expressions—usually noun-noun compounds—where the head word is derived from a verb.</x18tc:text>
  </x18tc:threadedComment>
  <x18tc:threadedComment ref="P5" dT="2025-01-31T14:39:05.00" personId="{abd3fe71-366a-47a0-af72-6fd43c9d084b}" id="{f8bdb3d4-7400-4bc7-888b-f14e77591d1c}" done="1">
    <x18tc:text xml:space="preserve">questo è tutto nelle istruzioni sulla familiarità</x18tc:text>
  </x18tc:threadedComment>
  <x18tc:threadedComment ref="L16" dT="2025-01-24T08:48:23.00" personId="{abd3fe71-366a-47a0-af72-6fd43c9d084b}" id="{0ee9dac9-cece-43c1-8704-634b2549ee4c}" done="0">
    <x18tc:text xml:space="preserve">Each participant provided ratings
for only one variable so that the ratings for one variable could
not influence or contaminate the ratings for another variable.</x18tc:text>
  </x18tc:threadedComment>
  <x18tc:threadedComment ref="AD2" dT="2026-02-25T14:37:14.00" personId="{abd3fe71-366a-47a0-af72-6fd43c9d084b}" id="{6148efe6-3b95-4644-92c1-e0ebed48047b}" done="0">
    <x18tc:text xml:space="preserve">the orange ones have not been copied in the clean table in the other sheet</x18tc:text>
  </x18tc:threadedComment>
  <x18tc:threadedComment ref="H35" dT="2025-01-27T13:37:22.00" personId="{abd3fe71-366a-47a0-af72-6fd43c9d084b}" id="{e6753089-1687-4130-a53f-f29795eb49b1}" done="1">
    <x18tc:text xml:space="preserve">Non so se è il caso di scrivere affective.... "1,490 Indonesian words, of which 637 words were translations of English words in ANEW"</x18tc:text>
  </x18tc:threadedComment>
  <x18tc:threadedComment ref="A18" dT="2025-08-11T12:04:10.00" personId="{abd3fe71-366a-47a0-af72-6fd43c9d084b}" id="{693e6b22-32d9-4627-b44e-859cecc28ccb}" done="1">
    <x18tc:text xml:space="preserve">controlla il numero di stimoli x ss</x18tc:text>
  </x18tc:threadedComment>
  <x18tc:threadedComment ref="Z10" dT="2025-02-20T13:03:03.00" personId="{abd3fe71-366a-47a0-af72-6fd43c9d084b}" id="{7353fc4b-e405-48b9-b385-f4985e671021}" done="1">
    <x18tc:text xml:space="preserve">non è chiaro se ci sono i dati grezzi perché c'è una colonna con raw ma sono sempre medie x stimolo</x18tc:text>
  </x18tc:threadedComment>
  <x18tc:threadedComment ref="M16" dT="2025-01-24T08:53:24.00" personId="{abd3fe71-366a-47a0-af72-6fd43c9d084b}" id="{e5a69548-cb37-4c44-8b03-8a9b75b35cae}" done="1">
    <x18tc:text xml:space="preserve">vedi p 1109</x18tc:text>
  </x18tc:threadedComment>
  <x18tc:threadedComment ref="M16" dT="2025-01-24T09:18:32.00" personId="{abd3fe71-366a-47a0-af72-6fd43c9d084b}" id="{a620409a-7c2a-4959-97f5-034d605bcdab}" parentId="{e5a69548-cb37-4c44-8b03-8a9b75b35cae}">
    <x18tc:text xml:space="preserve">erano fatti fare a 20 ss (però su alcuni concetti ci sn valori mancanti, ci sn i dati grezzi) quindi in sostanza nn sn 20</x18tc:text>
  </x18tc:threadedComment>
  <x18tc:threadedComment ref="M38" dT="2026-02-14T16:29:03.00" personId="{6b45b3ca-ac00-4ddb-8c6b-3b2263110b5a}" id="{5a18c79a-dec0-4746-8d7c-12fe35c5e4b6}" done="0">
    <x18tc:text xml:space="preserve">Survey 3 assessed Social Metacognition (SM) and Familiarity (FAM). Twenty participants completed the survey, which included all 200 words. As a result, each word received 20 ratings on the familiarity dimension.</x18tc:text>
  </x18tc:threadedComment>
  <x18tc:threadedComment ref="M38" dT="2026-02-16T15:00:54.00" personId="{abd3fe71-366a-47a0-af72-6fd43c9d084b}" id="{cc1a8f2e-27ca-455d-9483-769f76b3e130}" parentId="{5a18c79a-dec0-4746-8d7c-12fe35c5e4b6}">
    <x18tc:text xml:space="preserve">fatto, thanks!</x18tc:text>
  </x18tc:threadedComment>
  <x18tc:threadedComment ref="Z38" dT="2026-02-14T15:59:05.00" personId="{6b45b3ca-ac00-4ddb-8c6b-3b2263110b5a}" id="{3f3a0b2b-813f-44d3-9948-47e24d0b6e20}" done="0">
    <x18tc:text xml:space="preserve">In realtà si trovano sempre a questo link. https://doi.org/10.17605/OSF.IO/M6PH9 Precisamente nel survey 3: https://osf.io/m6ph9/files/u74c9</x18tc:text>
    <x18tc:extLst>
      <ext uri="{F7C98A9C-CBB3-438F-8F68-D28B6AF4A901}">
        <xltc2:checksum/>
        <xltc2:hyperlink startIndex="43" length="37" url="https://doi.org/10.17605/OSF.IO/M6PH9"/>
        <xltc2:hyperlink startIndex="108" length="32" url="https://osf.io/m6ph9/files/u74c9"/>
      </ext>
    </x18tc:extLst>
  </x18tc:threadedComment>
  <x18tc:threadedComment ref="Z38" dT="2026-02-16T15:03:19.00" personId="{abd3fe71-366a-47a0-af72-6fd43c9d084b}" id="{10f8d752-fa14-487d-b25e-524efee67d6d}" parentId="{3f3a0b2b-813f-44d3-9948-47e24d0b6e20}">
    <x18tc:text xml:space="preserve">grazie! Fatto.</x18tc:text>
  </x18tc:threadedComment>
  <x18tc:threadedComment ref="P16" dT="2025-01-24T09:14:38.00" personId="{abd3fe71-366a-47a0-af72-6fd43c9d084b}" id="{9317036c-8465-4b41-a9d1-f930135f8925}" done="0">
    <x18tc:text xml:space="preserve">ratings on paper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61" dT="2026-03-04T21:21:36.00" personId="{abd3fe71-366a-47a0-af72-6fd43c9d084b}" id="{ac875888-917c-4d4b-984f-d7733cc6aafb}" done="1">
    <x18tc:text xml:space="preserve">the authors call this comparison intergroup reliability but in other cases I considered this more a sort of construct validity</x18tc:text>
  </x18tc:threadedComment>
  <x18tc:threadedComment ref="M8" dT="2026-02-11T13:49:47.00" personId="{abd3fe71-366a-47a0-af72-6fd43c9d084b}" id="{588dfd0b-2f80-4ff8-a332-c16adb598651}" done="1">
    <x18tc:text xml:space="preserve">1 = never, 2 = once a year, 3 = once a month, 4 = once a week, 5 = once every two days, 6 = once a day, 7 = several times a day</x18tc:text>
  </x18tc:threadedComment>
  <x18tc:threadedComment ref="AA30" dT="2026-02-11T14:53:23.00" personId="{abd3fe71-366a-47a0-af72-6fd43c9d084b}" id="{3e00eda6-b5c8-47ff-917c-a71aaf7a2f27}" done="1">
    <x18tc:text xml:space="preserve">fatto</x18tc:text>
  </x18tc:threadedComment>
  <x18tc:threadedComment ref="AA39" dT="2026-02-11T14:53:30.00" personId="{abd3fe71-366a-47a0-af72-6fd43c9d084b}" id="{84150443-58b3-47d5-af49-08cbf7f503d3}" done="1">
    <x18tc:text xml:space="preserve">fatto</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journal.frontiersin.org/article/10.3389/fpsyg.2016.01907/full" TargetMode="External"/><Relationship Id="rId42" Type="http://schemas.openxmlformats.org/officeDocument/2006/relationships/hyperlink" Target="https://doi.org/10.17605/OSF.IO/M6PH9" TargetMode="External"/><Relationship Id="rId41" Type="http://schemas.openxmlformats.org/officeDocument/2006/relationships/hyperlink" Target="https://static-content.springer.com/esm/art%3A10.3758%2Fs13428-012-0291-0/MediaObjects/13428_2012_291_MOESM3_ESM.xls" TargetMode="External"/><Relationship Id="rId44" Type="http://schemas.openxmlformats.org/officeDocument/2006/relationships/hyperlink" Target="https://static-content.springer.com/esm/art%3A10.3758%2FBRM.42.4.1042/MediaObjects/DellaRosa-BRM-2010.zip" TargetMode="External"/><Relationship Id="rId43" Type="http://schemas.openxmlformats.org/officeDocument/2006/relationships/hyperlink" Target="https://osf.io/5rk9s" TargetMode="External"/><Relationship Id="rId46" Type="http://schemas.openxmlformats.org/officeDocument/2006/relationships/hyperlink" Target="https://osf.io/s8gv9/" TargetMode="External"/><Relationship Id="rId45" Type="http://schemas.openxmlformats.org/officeDocument/2006/relationships/hyperlink" Target="https://figshare.com/s/188257a8c7de933ba28a"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frontiersin.org/articles/10.3389/fpsyg.2020.554785/full" TargetMode="External"/><Relationship Id="rId9" Type="http://schemas.openxmlformats.org/officeDocument/2006/relationships/hyperlink" Target="https://ball.ling.sinica.edu.tw/brain/namingdatabase/index.html" TargetMode="External"/><Relationship Id="rId48" Type="http://schemas.openxmlformats.org/officeDocument/2006/relationships/hyperlink" Target="https://osf.io/eu7a3/" TargetMode="External"/><Relationship Id="rId47" Type="http://schemas.openxmlformats.org/officeDocument/2006/relationships/hyperlink" Target="https://osf.io/s8gv9/" TargetMode="External"/><Relationship Id="rId49" Type="http://schemas.openxmlformats.org/officeDocument/2006/relationships/hyperlink" Target="https://www.google.com/url?sa=E&amp;q=https%3A%2F%2Fosf.io%2F6xyun%2F%3Fview_only%3D062f49f57f9f4a6f8c73aab672c86dd2" TargetMode="External"/><Relationship Id="rId5" Type="http://schemas.openxmlformats.org/officeDocument/2006/relationships/hyperlink" Target="https://doi.org/10.3758/BRM.42.4.1042" TargetMode="External"/><Relationship Id="rId6" Type="http://schemas.openxmlformats.org/officeDocument/2006/relationships/hyperlink" Target="https://static-content.springer.com/esm/art%3A10.3758%2Fs13428-016-0793-2/MediaObjects/13428_2016_793_MOESM2_ESM.pdf" TargetMode="External"/><Relationship Id="rId7" Type="http://schemas.openxmlformats.org/officeDocument/2006/relationships/hyperlink" Target="https://www.frontiersin.org/api/v4/articles/585666/file/Table_1.XLSX/585666_supplementary-materials_tables_1_xlsx/1" TargetMode="External"/><Relationship Id="rId8" Type="http://schemas.openxmlformats.org/officeDocument/2006/relationships/hyperlink" Target="https://blclab.org/pyscholinguistic-norms-database/" TargetMode="External"/><Relationship Id="rId31" Type="http://schemas.openxmlformats.org/officeDocument/2006/relationships/hyperlink" Target="https://static-content.springer.com/esm/art%3A10.3758%2Fs13428-021-01601-w/MediaObjects/13428_2021_1601_MOESM1_ESM.zip" TargetMode="External"/><Relationship Id="rId30" Type="http://schemas.openxmlformats.org/officeDocument/2006/relationships/hyperlink" Target="https://static-content.springer.com/esm/art%3A10.3758%2Fs13428-014-0466-y/MediaObjects/13428_2014_466_MOESM1_ESM.xlsx" TargetMode="External"/><Relationship Id="rId33" Type="http://schemas.openxmlformats.org/officeDocument/2006/relationships/hyperlink" Target="https://osf.io/vhmub/?view_only=a4f2e3ecf68e4c669fecd28e5464e989" TargetMode="External"/><Relationship Id="rId32" Type="http://schemas.openxmlformats.org/officeDocument/2006/relationships/hyperlink" Target="https://doi.org/10.3758/BF03200465" TargetMode="External"/><Relationship Id="rId35" Type="http://schemas.openxmlformats.org/officeDocument/2006/relationships/hyperlink" Target="https://doi.org/10.3758/BF03200465" TargetMode="External"/><Relationship Id="rId34" Type="http://schemas.openxmlformats.org/officeDocument/2006/relationships/hyperlink" Target="https://osf.io/vhmub/?view_only=a4f2e3ecf68e4c669fecd28e5464e989" TargetMode="External"/><Relationship Id="rId37" Type="http://schemas.openxmlformats.org/officeDocument/2006/relationships/hyperlink" Target="https://lingualab.ca/fr/project/norms-familiarity-perceptual-strength/" TargetMode="External"/><Relationship Id="rId36" Type="http://schemas.openxmlformats.org/officeDocument/2006/relationships/hyperlink" Target="https://static-content.springer.com/esm/art%3A10.3758%2FBRM.40.4.1049/MediaObjects/Ferrand-BRM-2008.zip" TargetMode="External"/><Relationship Id="rId39" Type="http://schemas.openxmlformats.org/officeDocument/2006/relationships/hyperlink" Target="https://static-content.springer.com/esm/art%3A10.3758%2Fs13428-011-0164-y/MediaObjects/13428_2011_164_MOESM1_ESM.xls" TargetMode="External"/><Relationship Id="rId38" Type="http://schemas.openxmlformats.org/officeDocument/2006/relationships/hyperlink" Target="https://static-content.springer.com/esm/art%3A10.3758%2FBRM.41.2.546/MediaObjects/Desrochers-BRM-2009.zip" TargetMode="External"/><Relationship Id="rId62" Type="http://schemas.openxmlformats.org/officeDocument/2006/relationships/hyperlink" Target="https://osf.io/8czf3" TargetMode="External"/><Relationship Id="rId61" Type="http://schemas.openxmlformats.org/officeDocument/2006/relationships/hyperlink" Target="https://static-content.springer.com/esm/art%3A10.3758%2Fs13428-015-0684-y/MediaObjects/13428_2015_684_MOESM1_ESM.xlsx" TargetMode="External"/><Relationship Id="rId20" Type="http://schemas.openxmlformats.org/officeDocument/2006/relationships/hyperlink" Target="https://data.mendeley.com/datasets/kgk3jbx9xb/1" TargetMode="External"/><Relationship Id="rId64" Type="http://schemas.openxmlformats.org/officeDocument/2006/relationships/hyperlink" Target="https://www.istc.cnr.it/en/content/databases" TargetMode="External"/><Relationship Id="rId63" Type="http://schemas.openxmlformats.org/officeDocument/2006/relationships/hyperlink" Target="https://osf.io/jkyn8" TargetMode="External"/><Relationship Id="rId22" Type="http://schemas.openxmlformats.org/officeDocument/2006/relationships/hyperlink" Target="https://static-content.springer.com/esm/art%3A10.3758%2FBF03200740/MediaObjects/Surprenant-BRM-1999.zip" TargetMode="External"/><Relationship Id="rId66" Type="http://schemas.openxmlformats.org/officeDocument/2006/relationships/drawing" Target="../drawings/drawing1.xml"/><Relationship Id="rId21" Type="http://schemas.openxmlformats.org/officeDocument/2006/relationships/hyperlink" Target="https://data.mendeley.com/datasets/kgk3jbx9xb/1" TargetMode="External"/><Relationship Id="rId65" Type="http://schemas.openxmlformats.org/officeDocument/2006/relationships/hyperlink" Target="https://static-content.springer.com/esm/art%3A10.3758%2FBF03192731/MediaObjects/Morrow-BRM-2005.zip" TargetMode="External"/><Relationship Id="rId24" Type="http://schemas.openxmlformats.org/officeDocument/2006/relationships/hyperlink" Target="https://static-content.springer.com/esm/art%3A10.3758%2Fs13428-014-0523-6/MediaObjects/13428_2014_523_MOESM1_ESM.doc" TargetMode="External"/><Relationship Id="rId23" Type="http://schemas.openxmlformats.org/officeDocument/2006/relationships/hyperlink" Target="https://static-content.springer.com/esm/art%3A10.3758%2FBRM.40.4.1065/MediaObjects/Janschewitz-BRM-2008.zip" TargetMode="External"/><Relationship Id="rId67" Type="http://schemas.openxmlformats.org/officeDocument/2006/relationships/vmlDrawing" Target="../drawings/vmlDrawing1.vml"/><Relationship Id="rId60" Type="http://schemas.openxmlformats.org/officeDocument/2006/relationships/hyperlink" Target="https://static-content.springer.com/esm/art%3A10.3758%2Fs13428-021-01682-7/MediaObjects/13428_2021_1682_MOESM1_ESM.xlsx" TargetMode="External"/><Relationship Id="rId26" Type="http://schemas.openxmlformats.org/officeDocument/2006/relationships/hyperlink" Target="https://static-content.springer.com/esm/art%3A10.3758%2FBF03195584/MediaObjects/Clark-BRM-2004.zip" TargetMode="External"/><Relationship Id="rId25" Type="http://schemas.openxmlformats.org/officeDocument/2006/relationships/hyperlink" Target="https://journals.sagepub.com/doi/suppl/10.1177/0033294116658474/suppl_file/emote.xlsx" TargetMode="External"/><Relationship Id="rId69" Type="http://schemas.openxmlformats.org/officeDocument/2006/relationships/table" Target="../tables/table1.xml"/><Relationship Id="rId28" Type="http://schemas.openxmlformats.org/officeDocument/2006/relationships/hyperlink" Target="https://static-content.springer.com/esm/art%3A10.3758%2FBRM.42.1.134/MediaObjects/Eilola-BRM-2010.zip" TargetMode="External"/><Relationship Id="rId27" Type="http://schemas.openxmlformats.org/officeDocument/2006/relationships/hyperlink" Target="https://static-content.springer.com/esm/art%3A10.3758%2Fs13428-018-1099-3/MediaObjects/13428_2018_1099_MOESM2_ESM.csv" TargetMode="External"/><Relationship Id="rId29" Type="http://schemas.openxmlformats.org/officeDocument/2006/relationships/hyperlink" Target="https://sharepoint1.umons.ac.be/FR/UNIVERSITE/FACULTES/FPSE/SERVICESEETR/SC_CO/Pages/Appendixes.aspx." TargetMode="External"/><Relationship Id="rId51" Type="http://schemas.openxmlformats.org/officeDocument/2006/relationships/hyperlink" Target="https://osf.io/ucx7h/" TargetMode="External"/><Relationship Id="rId50" Type="http://schemas.openxmlformats.org/officeDocument/2006/relationships/hyperlink" Target="https://www.scidb.cn/en/s/ZfuIJn" TargetMode="External"/><Relationship Id="rId53" Type="http://schemas.openxmlformats.org/officeDocument/2006/relationships/hyperlink" Target="https://static-content.springer.com/esm/art%3A10.1007%2Fs10936-017-9548-1/MediaObjects/10936_2017_9548_MOESM1_ESM.xlsx" TargetMode="External"/><Relationship Id="rId52" Type="http://schemas.openxmlformats.org/officeDocument/2006/relationships/hyperlink" Target="https://static-content.springer.com/esm/art%3A10.3758%2Fs13428-016-0767-4/MediaObjects/13428_2016_767_MOESM1_ESM.xlsx" TargetMode="External"/><Relationship Id="rId11" Type="http://schemas.openxmlformats.org/officeDocument/2006/relationships/hyperlink" Target="https://mst-cbs.polyu.edu.hk/Database/HK_norm_2021.xlsx" TargetMode="External"/><Relationship Id="rId55" Type="http://schemas.openxmlformats.org/officeDocument/2006/relationships/hyperlink" Target="https://static-content.springer.com/esm/art%3A10.3758%2Fs13428-014-0501-z/MediaObjects/13428_2014_501_MOESM1_ESM.pdf" TargetMode="External"/><Relationship Id="rId10" Type="http://schemas.openxmlformats.org/officeDocument/2006/relationships/hyperlink" Target="https://journals.sagepub.com/doi/suppl/10.1177/21582440211054495/suppl_file/sj-xls-1-sgo-10.1177_21582440211054495.xls" TargetMode="External"/><Relationship Id="rId54" Type="http://schemas.openxmlformats.org/officeDocument/2006/relationships/hyperlink" Target="https://static-content.springer.com/esm/art%3A10.3758%2FBRM.42.1.109/MediaObjects/Desrochers-BRM-2010.zip" TargetMode="External"/><Relationship Id="rId13" Type="http://schemas.openxmlformats.org/officeDocument/2006/relationships/hyperlink" Target="https://doi.org/10.1371/journal.pone.0174569" TargetMode="External"/><Relationship Id="rId57" Type="http://schemas.openxmlformats.org/officeDocument/2006/relationships/hyperlink" Target="https://static-content.springer.com/esm/art%3A10.3758%2FBF03192708/MediaObjects/Izura-BRM-2005.zip" TargetMode="External"/><Relationship Id="rId12" Type="http://schemas.openxmlformats.org/officeDocument/2006/relationships/hyperlink" Target="https://static-content.springer.com/esm/art%3A10.3758%2Fs13428-022-01878-5/MediaObjects/13428_2022_1878_MOESM1_ESM.pdf" TargetMode="External"/><Relationship Id="rId56" Type="http://schemas.openxmlformats.org/officeDocument/2006/relationships/hyperlink" Target="https://static-content.springer.com/esm/art%3A10.3758%2Fs13428-011-0165-x/MediaObjects/13428_2011_165_MOESM1_ESM.xls" TargetMode="External"/><Relationship Id="rId15" Type="http://schemas.openxmlformats.org/officeDocument/2006/relationships/hyperlink" Target="http://polin-hlb.erf.hr/" TargetMode="External"/><Relationship Id="rId59" Type="http://schemas.openxmlformats.org/officeDocument/2006/relationships/hyperlink" Target="https://figshare.com/s/8e7b445b729527262c88?file=5212513" TargetMode="External"/><Relationship Id="rId14" Type="http://schemas.openxmlformats.org/officeDocument/2006/relationships/hyperlink" Target="https://osf.io/hwkv7" TargetMode="External"/><Relationship Id="rId58" Type="http://schemas.openxmlformats.org/officeDocument/2006/relationships/hyperlink" Target="https://static-content.springer.com/esm/art%3A10.3758%2Fs13428-013-0435-x/MediaObjects/13428_2013_435_MOESM1_ESM.xls" TargetMode="External"/><Relationship Id="rId17" Type="http://schemas.openxmlformats.org/officeDocument/2006/relationships/hyperlink" Target="https://static-content.springer.com/esm/art%3A10.3758%2FBRM.40.4.1030/MediaObjects/DeDeyne-BRM-2008b.zip" TargetMode="External"/><Relationship Id="rId16" Type="http://schemas.openxmlformats.org/officeDocument/2006/relationships/hyperlink" Target="https://link.springer.com/article/10.3758/s13428-020-01533-x" TargetMode="External"/><Relationship Id="rId19" Type="http://schemas.openxmlformats.org/officeDocument/2006/relationships/hyperlink" Target="https://osf.io/6zxej" TargetMode="External"/><Relationship Id="rId18" Type="http://schemas.openxmlformats.org/officeDocument/2006/relationships/hyperlink" Target="https://static-content.springer.com/esm/art%3A10.3758%2FBRM.40.4.1030/MediaObjects/DeDeyne-BRM-2008b.zi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tatic-content.springer.com/esm/art%3A10.3758%2FBRM.41.2.546/MediaObjects/Desrochers-BRM-2009.zip" TargetMode="External"/><Relationship Id="rId42" Type="http://schemas.openxmlformats.org/officeDocument/2006/relationships/hyperlink" Target="http://journal.frontiersin.org/article/10.3389/fpsyg.2016.01907/full" TargetMode="External"/><Relationship Id="rId41" Type="http://schemas.openxmlformats.org/officeDocument/2006/relationships/hyperlink" Target="https://static-content.springer.com/esm/art%3A10.3758%2Fs13428-011-0164-y/MediaObjects/13428_2011_164_MOESM1_ESM.xls" TargetMode="External"/><Relationship Id="rId44" Type="http://schemas.openxmlformats.org/officeDocument/2006/relationships/hyperlink" Target="https://doi.org/10.17605/OSF.IO/M6PH9" TargetMode="External"/><Relationship Id="rId43" Type="http://schemas.openxmlformats.org/officeDocument/2006/relationships/hyperlink" Target="https://static-content.springer.com/esm/art%3A10.3758%2Fs13428-012-0291-0/MediaObjects/13428_2012_291_MOESM3_ESM.xls" TargetMode="External"/><Relationship Id="rId46" Type="http://schemas.openxmlformats.org/officeDocument/2006/relationships/hyperlink" Target="https://static-content.springer.com/esm/art%3A10.3758%2FBRM.42.4.1042/MediaObjects/DellaRosa-BRM-2010.zip" TargetMode="External"/><Relationship Id="rId45" Type="http://schemas.openxmlformats.org/officeDocument/2006/relationships/hyperlink" Target="https://osf.io/5rk9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frontiersin.org/articles/10.3389/fpsyg.2020.554785/full" TargetMode="External"/><Relationship Id="rId9" Type="http://schemas.openxmlformats.org/officeDocument/2006/relationships/hyperlink" Target="https://ball.ling.sinica.edu.tw/brain/namingdatabase/index.html" TargetMode="External"/><Relationship Id="rId48" Type="http://schemas.openxmlformats.org/officeDocument/2006/relationships/hyperlink" Target="https://osf.io/s8gv9/" TargetMode="External"/><Relationship Id="rId47" Type="http://schemas.openxmlformats.org/officeDocument/2006/relationships/hyperlink" Target="https://figshare.com/s/188257a8c7de933ba28a" TargetMode="External"/><Relationship Id="rId49" Type="http://schemas.openxmlformats.org/officeDocument/2006/relationships/hyperlink" Target="https://osf.io/s8gv9/" TargetMode="External"/><Relationship Id="rId5" Type="http://schemas.openxmlformats.org/officeDocument/2006/relationships/hyperlink" Target="https://doi.org/10.3758/BRM.42.4.1042" TargetMode="External"/><Relationship Id="rId6" Type="http://schemas.openxmlformats.org/officeDocument/2006/relationships/hyperlink" Target="https://static-content.springer.com/esm/art%3A10.3758%2Fs13428-016-0793-2/MediaObjects/13428_2016_793_MOESM2_ESM.pdf" TargetMode="External"/><Relationship Id="rId7" Type="http://schemas.openxmlformats.org/officeDocument/2006/relationships/hyperlink" Target="https://www.frontiersin.org/api/v4/articles/585666/file/Table_1.XLSX/585666_supplementary-materials_tables_1_xlsx/1" TargetMode="External"/><Relationship Id="rId8" Type="http://schemas.openxmlformats.org/officeDocument/2006/relationships/hyperlink" Target="https://blclab.org/pyscholinguistic-norms-database/" TargetMode="External"/><Relationship Id="rId31" Type="http://schemas.openxmlformats.org/officeDocument/2006/relationships/hyperlink" Target="https://sharepoint1.umons.ac.be/FR/UNIVERSITE/FACULTES/FPSE/SERVICESEETR/SC_CO/Pages/Appendixes.aspx." TargetMode="External"/><Relationship Id="rId30" Type="http://schemas.openxmlformats.org/officeDocument/2006/relationships/hyperlink" Target="https://static-content.springer.com/esm/art%3A10.3758%2FBRM.42.1.134/MediaObjects/Eilola-BRM-2010.zip" TargetMode="External"/><Relationship Id="rId33" Type="http://schemas.openxmlformats.org/officeDocument/2006/relationships/hyperlink" Target="https://static-content.springer.com/esm/art%3A10.3758%2Fs13428-021-01601-w/MediaObjects/13428_2021_1601_MOESM1_ESM.zip" TargetMode="External"/><Relationship Id="rId32" Type="http://schemas.openxmlformats.org/officeDocument/2006/relationships/hyperlink" Target="https://static-content.springer.com/esm/art%3A10.3758%2Fs13428-014-0466-y/MediaObjects/13428_2014_466_MOESM1_ESM.xlsx" TargetMode="External"/><Relationship Id="rId35" Type="http://schemas.openxmlformats.org/officeDocument/2006/relationships/hyperlink" Target="https://osf.io/vhmub/?view_only=a4f2e3ecf68e4c669fecd28e5464e989" TargetMode="External"/><Relationship Id="rId34" Type="http://schemas.openxmlformats.org/officeDocument/2006/relationships/hyperlink" Target="https://doi.org/10.3758/BF03200465" TargetMode="External"/><Relationship Id="rId71" Type="http://schemas.openxmlformats.org/officeDocument/2006/relationships/table" Target="../tables/table2.xml"/><Relationship Id="rId37" Type="http://schemas.openxmlformats.org/officeDocument/2006/relationships/hyperlink" Target="https://doi.org/10.3758/BF03200465" TargetMode="External"/><Relationship Id="rId36" Type="http://schemas.openxmlformats.org/officeDocument/2006/relationships/hyperlink" Target="https://osf.io/vhmub/?view_only=a4f2e3ecf68e4c669fecd28e5464e989" TargetMode="External"/><Relationship Id="rId39" Type="http://schemas.openxmlformats.org/officeDocument/2006/relationships/hyperlink" Target="https://lingualab.ca/fr/project/norms-familiarity-perceptual-strength/" TargetMode="External"/><Relationship Id="rId38" Type="http://schemas.openxmlformats.org/officeDocument/2006/relationships/hyperlink" Target="https://static-content.springer.com/esm/art%3A10.3758%2FBRM.40.4.1049/MediaObjects/Ferrand-BRM-2008.zip" TargetMode="External"/><Relationship Id="rId62" Type="http://schemas.openxmlformats.org/officeDocument/2006/relationships/hyperlink" Target="https://static-content.springer.com/esm/art%3A10.3758%2Fs13428-021-01682-7/MediaObjects/13428_2021_1682_MOESM1_ESM.xlsx" TargetMode="External"/><Relationship Id="rId61" Type="http://schemas.openxmlformats.org/officeDocument/2006/relationships/hyperlink" Target="https://figshare.com/s/8e7b445b729527262c88?file=5212513" TargetMode="External"/><Relationship Id="rId20" Type="http://schemas.openxmlformats.org/officeDocument/2006/relationships/hyperlink" Target="https://osf.io/nyg8v/," TargetMode="External"/><Relationship Id="rId64" Type="http://schemas.openxmlformats.org/officeDocument/2006/relationships/hyperlink" Target="https://osf.io/8czf3" TargetMode="External"/><Relationship Id="rId63" Type="http://schemas.openxmlformats.org/officeDocument/2006/relationships/hyperlink" Target="https://static-content.springer.com/esm/art%3A10.3758%2Fs13428-015-0684-y/MediaObjects/13428_2015_684_MOESM1_ESM.xlsx" TargetMode="External"/><Relationship Id="rId22" Type="http://schemas.openxmlformats.org/officeDocument/2006/relationships/hyperlink" Target="https://data.mendeley.com/datasets/kgk3jbx9xb/1" TargetMode="External"/><Relationship Id="rId66" Type="http://schemas.openxmlformats.org/officeDocument/2006/relationships/hyperlink" Target="https://www.istc.cnr.it/en/content/databases" TargetMode="External"/><Relationship Id="rId21" Type="http://schemas.openxmlformats.org/officeDocument/2006/relationships/hyperlink" Target="https://data.mendeley.com/datasets/kgk3jbx9xb/1" TargetMode="External"/><Relationship Id="rId65" Type="http://schemas.openxmlformats.org/officeDocument/2006/relationships/hyperlink" Target="https://osf.io/jkyn8" TargetMode="External"/><Relationship Id="rId24" Type="http://schemas.openxmlformats.org/officeDocument/2006/relationships/hyperlink" Target="https://static-content.springer.com/esm/art%3A10.3758%2FBRM.40.4.1065/MediaObjects/Janschewitz-BRM-2008.zip" TargetMode="External"/><Relationship Id="rId68" Type="http://schemas.openxmlformats.org/officeDocument/2006/relationships/drawing" Target="../drawings/drawing2.xml"/><Relationship Id="rId23" Type="http://schemas.openxmlformats.org/officeDocument/2006/relationships/hyperlink" Target="https://static-content.springer.com/esm/art%3A10.3758%2FBF03200740/MediaObjects/Surprenant-BRM-1999.zip" TargetMode="External"/><Relationship Id="rId67" Type="http://schemas.openxmlformats.org/officeDocument/2006/relationships/hyperlink" Target="https://static-content.springer.com/esm/art%3A10.3758%2FBF03192731/MediaObjects/Morrow-BRM-2005.zip" TargetMode="External"/><Relationship Id="rId60" Type="http://schemas.openxmlformats.org/officeDocument/2006/relationships/hyperlink" Target="https://static-content.springer.com/esm/art%3A10.3758%2Fs13428-013-0435-x/MediaObjects/13428_2013_435_MOESM1_ESM.xls" TargetMode="External"/><Relationship Id="rId26" Type="http://schemas.openxmlformats.org/officeDocument/2006/relationships/hyperlink" Target="https://static-content.springer.com/esm/art%3A10.3758%2Fs13428-014-0523-6/MediaObjects/13428_2014_523_MOESM1_ESM.doc" TargetMode="External"/><Relationship Id="rId25" Type="http://schemas.openxmlformats.org/officeDocument/2006/relationships/hyperlink" Target="https://static-content.springer.com/esm/art%3A10.3758%2Fs13428-014-0523-6/MediaObjects/13428_2014_523_MOESM2_ESM.xlsx" TargetMode="External"/><Relationship Id="rId69" Type="http://schemas.openxmlformats.org/officeDocument/2006/relationships/vmlDrawing" Target="../drawings/vmlDrawing2.vml"/><Relationship Id="rId28" Type="http://schemas.openxmlformats.org/officeDocument/2006/relationships/hyperlink" Target="https://static-content.springer.com/esm/art%3A10.3758%2FBF03195584/MediaObjects/Clark-BRM-2004.zip" TargetMode="External"/><Relationship Id="rId27" Type="http://schemas.openxmlformats.org/officeDocument/2006/relationships/hyperlink" Target="https://journals.sagepub.com/doi/suppl/10.1177/0033294116658474/suppl_file/emote.xlsx" TargetMode="External"/><Relationship Id="rId29" Type="http://schemas.openxmlformats.org/officeDocument/2006/relationships/hyperlink" Target="https://static-content.springer.com/esm/art%3A10.3758%2Fs13428-018-1099-3/MediaObjects/13428_2018_1099_MOESM2_ESM.csv" TargetMode="External"/><Relationship Id="rId51" Type="http://schemas.openxmlformats.org/officeDocument/2006/relationships/hyperlink" Target="https://www.google.com/url?sa=E&amp;q=https%3A%2F%2Fosf.io%2F6xyun%2F%3Fview_only%3D062f49f57f9f4a6f8c73aab672c86dd2" TargetMode="External"/><Relationship Id="rId50" Type="http://schemas.openxmlformats.org/officeDocument/2006/relationships/hyperlink" Target="https://osf.io/eu7a3/" TargetMode="External"/><Relationship Id="rId53" Type="http://schemas.openxmlformats.org/officeDocument/2006/relationships/hyperlink" Target="https://osf.io/ucx7h/" TargetMode="External"/><Relationship Id="rId52" Type="http://schemas.openxmlformats.org/officeDocument/2006/relationships/hyperlink" Target="https://www.scidb.cn/en/s/ZfuIJn" TargetMode="External"/><Relationship Id="rId11" Type="http://schemas.openxmlformats.org/officeDocument/2006/relationships/hyperlink" Target="https://mst-cbs.polyu.edu.hk/Database/HK_norm_2021.xlsx" TargetMode="External"/><Relationship Id="rId55" Type="http://schemas.openxmlformats.org/officeDocument/2006/relationships/hyperlink" Target="https://static-content.springer.com/esm/art%3A10.1007%2Fs10936-017-9548-1/MediaObjects/10936_2017_9548_MOESM1_ESM.xlsx" TargetMode="External"/><Relationship Id="rId10" Type="http://schemas.openxmlformats.org/officeDocument/2006/relationships/hyperlink" Target="https://journals.sagepub.com/doi/suppl/10.1177/21582440211054495/suppl_file/sj-xls-1-sgo-10.1177_21582440211054495.xls" TargetMode="External"/><Relationship Id="rId54" Type="http://schemas.openxmlformats.org/officeDocument/2006/relationships/hyperlink" Target="https://static-content.springer.com/esm/art%3A10.3758%2Fs13428-016-0767-4/MediaObjects/13428_2016_767_MOESM1_ESM.xlsx" TargetMode="External"/><Relationship Id="rId13" Type="http://schemas.openxmlformats.org/officeDocument/2006/relationships/hyperlink" Target="https://doi.org/10.1371/journal.pone.0174569" TargetMode="External"/><Relationship Id="rId57" Type="http://schemas.openxmlformats.org/officeDocument/2006/relationships/hyperlink" Target="https://static-content.springer.com/esm/art%3A10.3758%2Fs13428-014-0501-z/MediaObjects/13428_2014_501_MOESM1_ESM.pdf" TargetMode="External"/><Relationship Id="rId12" Type="http://schemas.openxmlformats.org/officeDocument/2006/relationships/hyperlink" Target="https://static-content.springer.com/esm/art%3A10.3758%2Fs13428-022-01878-5/MediaObjects/13428_2022_1878_MOESM1_ESM.pdf" TargetMode="External"/><Relationship Id="rId56" Type="http://schemas.openxmlformats.org/officeDocument/2006/relationships/hyperlink" Target="https://static-content.springer.com/esm/art%3A10.3758%2FBRM.42.1.109/MediaObjects/Desrochers-BRM-2010.zip" TargetMode="External"/><Relationship Id="rId15" Type="http://schemas.openxmlformats.org/officeDocument/2006/relationships/hyperlink" Target="http://polin-hlb.erf.hr/" TargetMode="External"/><Relationship Id="rId59" Type="http://schemas.openxmlformats.org/officeDocument/2006/relationships/hyperlink" Target="https://static-content.springer.com/esm/art%3A10.3758%2FBF03192708/MediaObjects/Izura-BRM-2005.zip" TargetMode="External"/><Relationship Id="rId14" Type="http://schemas.openxmlformats.org/officeDocument/2006/relationships/hyperlink" Target="https://osf.io/hwkv7" TargetMode="External"/><Relationship Id="rId58" Type="http://schemas.openxmlformats.org/officeDocument/2006/relationships/hyperlink" Target="https://static-content.springer.com/esm/art%3A10.3758%2Fs13428-011-0165-x/MediaObjects/13428_2011_165_MOESM1_ESM.xls" TargetMode="External"/><Relationship Id="rId17" Type="http://schemas.openxmlformats.org/officeDocument/2006/relationships/hyperlink" Target="https://static-content.springer.com/esm/art%3A10.3758%2FBRM.40.4.1030/MediaObjects/DeDeyne-BRM-2008b.zip" TargetMode="External"/><Relationship Id="rId16" Type="http://schemas.openxmlformats.org/officeDocument/2006/relationships/hyperlink" Target="https://link.springer.com/article/10.3758/s13428-020-01533-x" TargetMode="External"/><Relationship Id="rId19" Type="http://schemas.openxmlformats.org/officeDocument/2006/relationships/hyperlink" Target="https://osf.io/6zxej" TargetMode="External"/><Relationship Id="rId18" Type="http://schemas.openxmlformats.org/officeDocument/2006/relationships/hyperlink" Target="https://static-content.springer.com/esm/art%3A10.3758%2FBRM.40.4.1030/MediaObjects/DeDeyne-BRM-2008b.zi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google.com/url?q=https://pubmed.ncbi.nlm.nih.gov/?term%3D((familiarity%255BTitle%252FAbstract%255D)%2520AND%2520((ratings%255BTitle%252FAbstract%255D%2520OR%2520norms%255BTitle%252FAbstract%255D%2520OR%2520database%255BTitle%252FAbstract%255D)))%2520AND%2520(words%255BTitle%252FAbstract%255D)%26sort%3D%26page%3D6&amp;sa=D&amp;source=calendar&amp;usd=2&amp;usg=AOvVaw1GlY3SAmQb3FlUbqbzmE2s" TargetMode="External"/><Relationship Id="rId2" Type="http://schemas.openxmlformats.org/officeDocument/2006/relationships/hyperlink" Target="https://pubmed.ncbi.nlm.nih.gov/39733132/" TargetMode="External"/><Relationship Id="rId3" Type="http://schemas.openxmlformats.org/officeDocument/2006/relationships/hyperlink" Target="https://pubmed.ncbi.nlm.nih.gov/39614682/" TargetMode="External"/><Relationship Id="rId4" Type="http://schemas.openxmlformats.org/officeDocument/2006/relationships/drawing" Target="../drawings/drawing3.xml"/><Relationship Id="rId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8"/>
    <col customWidth="1" min="2" max="2" width="11.25"/>
    <col customWidth="1" min="3" max="6" width="11.13"/>
    <col customWidth="1" min="7" max="7" width="7.5"/>
    <col customWidth="1" min="8" max="8" width="15.88"/>
    <col customWidth="1" min="9" max="9" width="11.25"/>
    <col customWidth="1" min="10" max="10" width="12.88"/>
    <col customWidth="1" min="11" max="11" width="10.63"/>
    <col customWidth="1" min="12" max="12" width="11.25"/>
    <col customWidth="1" min="13" max="13" width="12.38"/>
    <col customWidth="1" min="14" max="14" width="9.38"/>
    <col customWidth="1" min="15" max="15" width="11.0"/>
    <col customWidth="1" min="16" max="19" width="11.5"/>
    <col customWidth="1" min="20" max="20" width="11.88"/>
    <col customWidth="1" min="21" max="21" width="12.13"/>
    <col customWidth="1" min="22" max="22" width="12.0"/>
    <col customWidth="1" min="23" max="23" width="10.5"/>
    <col customWidth="1" min="24" max="24" width="11.63"/>
    <col customWidth="1" min="25" max="25" width="13.63"/>
    <col customWidth="1" min="26" max="26" width="14.75"/>
  </cols>
  <sheetData>
    <row r="1" ht="40.5" customHeight="1">
      <c r="A1" s="1"/>
      <c r="B1" s="2"/>
      <c r="C1" s="2"/>
      <c r="D1" s="2"/>
      <c r="E1" s="2"/>
      <c r="F1" s="2"/>
      <c r="G1" s="2"/>
      <c r="H1" s="2"/>
      <c r="I1" s="2"/>
      <c r="J1" s="3"/>
      <c r="K1" s="2"/>
      <c r="L1" s="2"/>
      <c r="M1" s="3"/>
      <c r="N1" s="2"/>
      <c r="O1" s="4"/>
      <c r="P1" s="2"/>
      <c r="Q1" s="2"/>
      <c r="R1" s="2"/>
      <c r="S1" s="2"/>
      <c r="T1" s="4"/>
      <c r="U1" s="4"/>
      <c r="V1" s="4"/>
      <c r="W1" s="4"/>
      <c r="X1" s="4"/>
      <c r="Y1" s="4"/>
      <c r="Z1" s="4"/>
      <c r="AA1" s="4"/>
    </row>
    <row r="2" ht="60.0" customHeight="1">
      <c r="A2" s="5" t="s">
        <v>0</v>
      </c>
      <c r="B2" s="6" t="s">
        <v>1</v>
      </c>
      <c r="C2" s="6" t="s">
        <v>2</v>
      </c>
      <c r="D2" s="6" t="s">
        <v>3</v>
      </c>
      <c r="E2" s="6" t="s">
        <v>4</v>
      </c>
      <c r="F2" s="7" t="s">
        <v>5</v>
      </c>
      <c r="G2" s="7" t="s">
        <v>6</v>
      </c>
      <c r="H2" s="7" t="s">
        <v>7</v>
      </c>
      <c r="I2" s="7" t="s">
        <v>8</v>
      </c>
      <c r="J2" s="8" t="s">
        <v>9</v>
      </c>
      <c r="K2" s="7" t="s">
        <v>10</v>
      </c>
      <c r="L2" s="7" t="s">
        <v>11</v>
      </c>
      <c r="M2" s="8" t="s">
        <v>12</v>
      </c>
      <c r="N2" s="7" t="s">
        <v>13</v>
      </c>
      <c r="O2" s="9" t="s">
        <v>14</v>
      </c>
      <c r="P2" s="6" t="s">
        <v>15</v>
      </c>
      <c r="Q2" s="10" t="s">
        <v>16</v>
      </c>
      <c r="R2" s="6" t="s">
        <v>17</v>
      </c>
      <c r="S2" s="7" t="s">
        <v>18</v>
      </c>
      <c r="T2" s="9" t="s">
        <v>19</v>
      </c>
      <c r="U2" s="9" t="s">
        <v>20</v>
      </c>
      <c r="V2" s="9" t="s">
        <v>21</v>
      </c>
      <c r="W2" s="9" t="s">
        <v>22</v>
      </c>
      <c r="X2" s="9" t="s">
        <v>23</v>
      </c>
      <c r="Y2" s="9" t="s">
        <v>24</v>
      </c>
      <c r="Z2" s="9" t="s">
        <v>25</v>
      </c>
      <c r="AA2" s="9" t="s">
        <v>26</v>
      </c>
      <c r="AB2" s="11" t="s">
        <v>27</v>
      </c>
      <c r="AC2" s="12" t="s">
        <v>28</v>
      </c>
      <c r="AD2" s="12" t="s">
        <v>29</v>
      </c>
      <c r="AE2" s="12" t="s">
        <v>30</v>
      </c>
    </row>
    <row r="3" ht="40.5" customHeight="1">
      <c r="A3" s="13">
        <v>1.0</v>
      </c>
      <c r="B3" s="14" t="s">
        <v>31</v>
      </c>
      <c r="C3" s="14">
        <f>IFERROR(__xludf.DUMMYFUNCTION("SPLIT(B3,""_"")"),2017.0)</f>
        <v>2017</v>
      </c>
      <c r="D3" s="14" t="str">
        <f>IFERROR(__xludf.DUMMYFUNCTION("""COMPUTED_VALUE"""),"Yee")</f>
        <v>Yee</v>
      </c>
      <c r="E3" s="14" t="str">
        <f>IFERROR(__xludf.DUMMYFUNCTION("""COMPUTED_VALUE"""),"PLoSONE")</f>
        <v>PLoSONE</v>
      </c>
      <c r="F3" s="15" t="s">
        <v>32</v>
      </c>
      <c r="G3" s="15" t="s">
        <v>33</v>
      </c>
      <c r="H3" s="15" t="s">
        <v>34</v>
      </c>
      <c r="I3" s="16">
        <v>292.0</v>
      </c>
      <c r="J3" s="17" t="s">
        <v>35</v>
      </c>
      <c r="K3" s="16">
        <v>164.0</v>
      </c>
      <c r="L3" s="15" t="s">
        <v>36</v>
      </c>
      <c r="M3" s="15" t="s">
        <v>37</v>
      </c>
      <c r="N3" s="15" t="s">
        <v>38</v>
      </c>
      <c r="O3" s="15" t="s">
        <v>39</v>
      </c>
      <c r="P3" s="15" t="s">
        <v>40</v>
      </c>
      <c r="Q3" s="15" t="s">
        <v>41</v>
      </c>
      <c r="R3" s="15" t="s">
        <v>42</v>
      </c>
      <c r="S3" s="15" t="s">
        <v>43</v>
      </c>
      <c r="T3" s="15" t="s">
        <v>44</v>
      </c>
      <c r="U3" s="14" t="s">
        <v>45</v>
      </c>
      <c r="V3" s="14" t="s">
        <v>46</v>
      </c>
      <c r="W3" s="14" t="s">
        <v>47</v>
      </c>
      <c r="X3" s="14" t="s">
        <v>48</v>
      </c>
      <c r="Y3" s="14" t="s">
        <v>49</v>
      </c>
      <c r="Z3" s="18" t="s">
        <v>50</v>
      </c>
      <c r="AA3" s="14" t="s">
        <v>51</v>
      </c>
      <c r="AB3" s="19"/>
      <c r="AC3" s="20"/>
      <c r="AD3" s="21" t="s">
        <v>52</v>
      </c>
      <c r="AE3" s="22"/>
    </row>
    <row r="4" ht="40.5" customHeight="1">
      <c r="A4" s="13">
        <v>2.0</v>
      </c>
      <c r="B4" s="14" t="s">
        <v>53</v>
      </c>
      <c r="C4" s="14">
        <f>IFERROR(__xludf.DUMMYFUNCTION("SPLIT(B4,""_"")"),2020.0)</f>
        <v>2020</v>
      </c>
      <c r="D4" s="14" t="str">
        <f>IFERROR(__xludf.DUMMYFUNCTION("""COMPUTED_VALUE"""),"Wang")</f>
        <v>Wang</v>
      </c>
      <c r="E4" s="14" t="str">
        <f>IFERROR(__xludf.DUMMYFUNCTION("""COMPUTED_VALUE"""),"FrontPsychol")</f>
        <v>FrontPsychol</v>
      </c>
      <c r="F4" s="14" t="s">
        <v>54</v>
      </c>
      <c r="G4" s="14" t="s">
        <v>33</v>
      </c>
      <c r="H4" s="14" t="s">
        <v>55</v>
      </c>
      <c r="I4" s="13">
        <v>587.0</v>
      </c>
      <c r="J4" s="23" t="s">
        <v>56</v>
      </c>
      <c r="K4" s="13">
        <v>18.0</v>
      </c>
      <c r="L4" s="14" t="s">
        <v>36</v>
      </c>
      <c r="M4" s="24" t="s">
        <v>57</v>
      </c>
      <c r="N4" s="14" t="s">
        <v>58</v>
      </c>
      <c r="O4" s="14" t="s">
        <v>40</v>
      </c>
      <c r="P4" s="14" t="s">
        <v>40</v>
      </c>
      <c r="Q4" s="14" t="s">
        <v>40</v>
      </c>
      <c r="R4" s="14" t="s">
        <v>42</v>
      </c>
      <c r="S4" s="14" t="s">
        <v>42</v>
      </c>
      <c r="T4" s="14" t="s">
        <v>59</v>
      </c>
      <c r="U4" s="14" t="s">
        <v>60</v>
      </c>
      <c r="V4" s="14" t="s">
        <v>61</v>
      </c>
      <c r="W4" s="14" t="s">
        <v>62</v>
      </c>
      <c r="X4" s="14" t="s">
        <v>63</v>
      </c>
      <c r="Y4" s="14" t="s">
        <v>64</v>
      </c>
      <c r="Z4" s="18" t="s">
        <v>50</v>
      </c>
      <c r="AA4" s="25" t="s">
        <v>65</v>
      </c>
      <c r="AB4" s="19"/>
      <c r="AC4" s="20"/>
      <c r="AD4" s="21" t="s">
        <v>52</v>
      </c>
      <c r="AE4" s="22"/>
    </row>
    <row r="5" ht="40.5" customHeight="1">
      <c r="A5" s="13">
        <v>3.0</v>
      </c>
      <c r="B5" s="14" t="s">
        <v>66</v>
      </c>
      <c r="C5" s="14">
        <f>IFERROR(__xludf.DUMMYFUNCTION("SPLIT(B5,""_"")"),2016.0)</f>
        <v>2016</v>
      </c>
      <c r="D5" s="14" t="str">
        <f>IFERROR(__xludf.DUMMYFUNCTION("""COMPUTED_VALUE"""),"Yao")</f>
        <v>Yao</v>
      </c>
      <c r="E5" s="14" t="str">
        <f>IFERROR(__xludf.DUMMYFUNCTION("""COMPUTED_VALUE"""),"BRM")</f>
        <v>BRM</v>
      </c>
      <c r="F5" s="14" t="s">
        <v>67</v>
      </c>
      <c r="G5" s="14" t="s">
        <v>33</v>
      </c>
      <c r="H5" s="14" t="s">
        <v>68</v>
      </c>
      <c r="I5" s="26">
        <v>1100.0</v>
      </c>
      <c r="J5" s="23" t="s">
        <v>69</v>
      </c>
      <c r="K5" s="13">
        <v>480.0</v>
      </c>
      <c r="L5" s="14" t="s">
        <v>36</v>
      </c>
      <c r="M5" s="14">
        <v>48.0</v>
      </c>
      <c r="N5" s="14" t="s">
        <v>70</v>
      </c>
      <c r="O5" s="14" t="s">
        <v>71</v>
      </c>
      <c r="P5" s="14" t="s">
        <v>72</v>
      </c>
      <c r="Q5" s="25" t="s">
        <v>73</v>
      </c>
      <c r="R5" s="14" t="s">
        <v>42</v>
      </c>
      <c r="S5" s="14" t="s">
        <v>42</v>
      </c>
      <c r="T5" s="14" t="s">
        <v>74</v>
      </c>
      <c r="U5" s="14" t="s">
        <v>75</v>
      </c>
      <c r="V5" s="14" t="s">
        <v>76</v>
      </c>
      <c r="W5" s="14" t="s">
        <v>77</v>
      </c>
      <c r="X5" s="14" t="s">
        <v>78</v>
      </c>
      <c r="Y5" s="14" t="s">
        <v>79</v>
      </c>
      <c r="Z5" s="18" t="s">
        <v>50</v>
      </c>
      <c r="AA5" s="25" t="s">
        <v>80</v>
      </c>
      <c r="AB5" s="14" t="s">
        <v>81</v>
      </c>
      <c r="AC5" s="20"/>
      <c r="AD5" s="21" t="s">
        <v>82</v>
      </c>
      <c r="AE5" s="27"/>
    </row>
    <row r="6" ht="40.5" customHeight="1">
      <c r="A6" s="13">
        <v>4.0</v>
      </c>
      <c r="B6" s="14" t="s">
        <v>83</v>
      </c>
      <c r="C6" s="14">
        <f>IFERROR(__xludf.DUMMYFUNCTION("SPLIT(B6,""_"")"),2021.0)</f>
        <v>2021</v>
      </c>
      <c r="D6" s="14" t="str">
        <f>IFERROR(__xludf.DUMMYFUNCTION("""COMPUTED_VALUE"""),"Liu")</f>
        <v>Liu</v>
      </c>
      <c r="E6" s="14" t="str">
        <f>IFERROR(__xludf.DUMMYFUNCTION("""COMPUTED_VALUE"""),"FrontPsychol")</f>
        <v>FrontPsychol</v>
      </c>
      <c r="F6" s="14" t="s">
        <v>84</v>
      </c>
      <c r="G6" s="14" t="s">
        <v>33</v>
      </c>
      <c r="H6" s="14" t="s">
        <v>85</v>
      </c>
      <c r="I6" s="13">
        <v>2061.0</v>
      </c>
      <c r="J6" s="26" t="s">
        <v>86</v>
      </c>
      <c r="K6" s="13" t="s">
        <v>87</v>
      </c>
      <c r="L6" s="14" t="s">
        <v>88</v>
      </c>
      <c r="M6" s="14" t="s">
        <v>89</v>
      </c>
      <c r="N6" s="14" t="s">
        <v>70</v>
      </c>
      <c r="O6" s="14" t="s">
        <v>90</v>
      </c>
      <c r="P6" s="14" t="s">
        <v>91</v>
      </c>
      <c r="Q6" s="14" t="s">
        <v>92</v>
      </c>
      <c r="R6" s="14" t="s">
        <v>42</v>
      </c>
      <c r="S6" s="14" t="s">
        <v>93</v>
      </c>
      <c r="T6" s="14" t="s">
        <v>94</v>
      </c>
      <c r="U6" s="14" t="s">
        <v>95</v>
      </c>
      <c r="V6" s="14" t="s">
        <v>96</v>
      </c>
      <c r="W6" s="14" t="s">
        <v>97</v>
      </c>
      <c r="X6" s="14" t="s">
        <v>98</v>
      </c>
      <c r="Y6" s="14" t="s">
        <v>99</v>
      </c>
      <c r="Z6" s="18" t="s">
        <v>50</v>
      </c>
      <c r="AA6" s="28" t="s">
        <v>100</v>
      </c>
      <c r="AB6" s="14" t="s">
        <v>81</v>
      </c>
      <c r="AC6" s="20"/>
      <c r="AD6" s="21" t="s">
        <v>82</v>
      </c>
      <c r="AE6" s="27"/>
    </row>
    <row r="7" ht="40.5" customHeight="1">
      <c r="A7" s="13">
        <v>5.0</v>
      </c>
      <c r="B7" s="14" t="s">
        <v>101</v>
      </c>
      <c r="C7" s="14">
        <f>IFERROR(__xludf.DUMMYFUNCTION("SPLIT(B7,""_"")"),2007.0)</f>
        <v>2007</v>
      </c>
      <c r="D7" s="14" t="str">
        <f>IFERROR(__xludf.DUMMYFUNCTION("""COMPUTED_VALUE"""),"Liu")</f>
        <v>Liu</v>
      </c>
      <c r="E7" s="14" t="str">
        <f>IFERROR(__xludf.DUMMYFUNCTION("""COMPUTED_VALUE"""),"BRM")</f>
        <v>BRM</v>
      </c>
      <c r="F7" s="14" t="s">
        <v>102</v>
      </c>
      <c r="G7" s="14" t="s">
        <v>33</v>
      </c>
      <c r="H7" s="14" t="s">
        <v>103</v>
      </c>
      <c r="I7" s="26">
        <v>2390.0</v>
      </c>
      <c r="J7" s="23" t="s">
        <v>104</v>
      </c>
      <c r="K7" s="26">
        <v>120.0</v>
      </c>
      <c r="L7" s="14" t="s">
        <v>36</v>
      </c>
      <c r="M7" s="14">
        <v>40.0</v>
      </c>
      <c r="N7" s="14" t="s">
        <v>58</v>
      </c>
      <c r="O7" s="29" t="s">
        <v>105</v>
      </c>
      <c r="P7" s="14" t="s">
        <v>106</v>
      </c>
      <c r="Q7" s="14" t="s">
        <v>107</v>
      </c>
      <c r="R7" s="14" t="s">
        <v>42</v>
      </c>
      <c r="S7" s="14" t="s">
        <v>42</v>
      </c>
      <c r="T7" s="14" t="s">
        <v>108</v>
      </c>
      <c r="U7" s="14" t="s">
        <v>40</v>
      </c>
      <c r="V7" s="14" t="s">
        <v>40</v>
      </c>
      <c r="W7" s="30" t="s">
        <v>109</v>
      </c>
      <c r="X7" s="30" t="s">
        <v>110</v>
      </c>
      <c r="Y7" s="14" t="s">
        <v>111</v>
      </c>
      <c r="Z7" s="18" t="s">
        <v>50</v>
      </c>
      <c r="AA7" s="25" t="s">
        <v>112</v>
      </c>
      <c r="AB7" s="19"/>
      <c r="AC7" s="31" t="s">
        <v>113</v>
      </c>
      <c r="AD7" s="21" t="s">
        <v>82</v>
      </c>
      <c r="AE7" s="32"/>
    </row>
    <row r="8" ht="40.5" customHeight="1">
      <c r="A8" s="13">
        <v>6.0</v>
      </c>
      <c r="B8" s="14" t="s">
        <v>114</v>
      </c>
      <c r="C8" s="14">
        <f>IFERROR(__xludf.DUMMYFUNCTION("SPLIT(B8,""_"")"),2016.0)</f>
        <v>2016</v>
      </c>
      <c r="D8" s="14" t="str">
        <f>IFERROR(__xludf.DUMMYFUNCTION("""COMPUTED_VALUE"""),"Chang")</f>
        <v>Chang</v>
      </c>
      <c r="E8" s="14" t="str">
        <f>IFERROR(__xludf.DUMMYFUNCTION("""COMPUTED_VALUE"""),"BRM")</f>
        <v>BRM</v>
      </c>
      <c r="F8" s="14" t="s">
        <v>115</v>
      </c>
      <c r="G8" s="14" t="s">
        <v>33</v>
      </c>
      <c r="H8" s="14" t="s">
        <v>103</v>
      </c>
      <c r="I8" s="13">
        <v>3314.0</v>
      </c>
      <c r="J8" s="23" t="s">
        <v>116</v>
      </c>
      <c r="K8" s="13">
        <v>136.0</v>
      </c>
      <c r="L8" s="14" t="s">
        <v>36</v>
      </c>
      <c r="M8" s="14">
        <v>34.0</v>
      </c>
      <c r="N8" s="14" t="s">
        <v>58</v>
      </c>
      <c r="O8" s="14" t="s">
        <v>117</v>
      </c>
      <c r="P8" s="14" t="s">
        <v>40</v>
      </c>
      <c r="Q8" s="14" t="s">
        <v>118</v>
      </c>
      <c r="R8" s="14" t="s">
        <v>42</v>
      </c>
      <c r="S8" s="14" t="s">
        <v>43</v>
      </c>
      <c r="T8" s="14" t="s">
        <v>40</v>
      </c>
      <c r="U8" s="14" t="s">
        <v>40</v>
      </c>
      <c r="V8" s="14" t="s">
        <v>40</v>
      </c>
      <c r="W8" s="14" t="s">
        <v>119</v>
      </c>
      <c r="X8" s="14" t="s">
        <v>120</v>
      </c>
      <c r="Y8" s="14" t="s">
        <v>121</v>
      </c>
      <c r="Z8" s="18" t="s">
        <v>50</v>
      </c>
      <c r="AA8" s="33" t="s">
        <v>122</v>
      </c>
      <c r="AB8" s="19"/>
      <c r="AC8" s="31" t="s">
        <v>123</v>
      </c>
      <c r="AD8" s="21" t="s">
        <v>82</v>
      </c>
      <c r="AE8" s="32"/>
    </row>
    <row r="9" ht="40.5" customHeight="1">
      <c r="A9" s="13">
        <v>7.0</v>
      </c>
      <c r="B9" s="14" t="s">
        <v>124</v>
      </c>
      <c r="C9" s="14">
        <f>IFERROR(__xludf.DUMMYFUNCTION("SPLIT(B9,""_"")"),2021.0)</f>
        <v>2021</v>
      </c>
      <c r="D9" s="14" t="str">
        <f>IFERROR(__xludf.DUMMYFUNCTION("""COMPUTED_VALUE"""),"Song")</f>
        <v>Song</v>
      </c>
      <c r="E9" s="14" t="str">
        <f>IFERROR(__xludf.DUMMYFUNCTION("""COMPUTED_VALUE"""),"SAGE Open")</f>
        <v>SAGE Open</v>
      </c>
      <c r="F9" s="14" t="s">
        <v>125</v>
      </c>
      <c r="G9" s="14" t="s">
        <v>33</v>
      </c>
      <c r="H9" s="14" t="s">
        <v>126</v>
      </c>
      <c r="I9" s="13">
        <v>3783.0</v>
      </c>
      <c r="J9" s="23" t="s">
        <v>127</v>
      </c>
      <c r="K9" s="13">
        <v>7225.0</v>
      </c>
      <c r="L9" s="14" t="s">
        <v>36</v>
      </c>
      <c r="M9" s="14">
        <v>17.0</v>
      </c>
      <c r="N9" s="14" t="s">
        <v>58</v>
      </c>
      <c r="O9" s="14" t="s">
        <v>128</v>
      </c>
      <c r="P9" s="14" t="s">
        <v>129</v>
      </c>
      <c r="Q9" s="14" t="s">
        <v>40</v>
      </c>
      <c r="R9" s="14" t="s">
        <v>130</v>
      </c>
      <c r="S9" s="14" t="s">
        <v>131</v>
      </c>
      <c r="T9" s="14" t="s">
        <v>40</v>
      </c>
      <c r="U9" s="14" t="s">
        <v>132</v>
      </c>
      <c r="V9" s="14" t="s">
        <v>133</v>
      </c>
      <c r="W9" s="30" t="s">
        <v>134</v>
      </c>
      <c r="X9" s="14" t="s">
        <v>135</v>
      </c>
      <c r="Y9" s="14" t="s">
        <v>136</v>
      </c>
      <c r="Z9" s="18" t="s">
        <v>50</v>
      </c>
      <c r="AA9" s="25" t="s">
        <v>137</v>
      </c>
      <c r="AB9" s="19"/>
      <c r="AC9" s="20"/>
      <c r="AD9" s="21" t="s">
        <v>82</v>
      </c>
      <c r="AE9" s="20"/>
    </row>
    <row r="10" ht="40.5" customHeight="1">
      <c r="A10" s="13">
        <v>8.0</v>
      </c>
      <c r="B10" s="14" t="s">
        <v>138</v>
      </c>
      <c r="C10" s="14">
        <f>IFERROR(__xludf.DUMMYFUNCTION("SPLIT(B10,""_"")"),2023.0)</f>
        <v>2023</v>
      </c>
      <c r="D10" s="14" t="str">
        <f>IFERROR(__xludf.DUMMYFUNCTION("""COMPUTED_VALUE"""),"Su")</f>
        <v>Su</v>
      </c>
      <c r="E10" s="14" t="str">
        <f>IFERROR(__xludf.DUMMYFUNCTION("""COMPUTED_VALUE"""),"BRM")</f>
        <v>BRM</v>
      </c>
      <c r="F10" s="14" t="s">
        <v>139</v>
      </c>
      <c r="G10" s="14" t="s">
        <v>33</v>
      </c>
      <c r="H10" s="14" t="s">
        <v>55</v>
      </c>
      <c r="I10" s="13">
        <v>4376.0</v>
      </c>
      <c r="J10" s="26" t="s">
        <v>140</v>
      </c>
      <c r="K10" s="13">
        <v>20.0</v>
      </c>
      <c r="L10" s="14" t="s">
        <v>36</v>
      </c>
      <c r="M10" s="14">
        <v>18.0</v>
      </c>
      <c r="N10" s="14" t="s">
        <v>58</v>
      </c>
      <c r="O10" s="14" t="s">
        <v>141</v>
      </c>
      <c r="P10" s="14" t="s">
        <v>142</v>
      </c>
      <c r="Q10" s="14" t="s">
        <v>40</v>
      </c>
      <c r="R10" s="14" t="s">
        <v>42</v>
      </c>
      <c r="S10" s="14" t="s">
        <v>42</v>
      </c>
      <c r="T10" s="14" t="s">
        <v>143</v>
      </c>
      <c r="U10" s="14" t="s">
        <v>144</v>
      </c>
      <c r="V10" s="14" t="s">
        <v>145</v>
      </c>
      <c r="W10" s="30" t="s">
        <v>146</v>
      </c>
      <c r="X10" s="30" t="s">
        <v>147</v>
      </c>
      <c r="Y10" s="14" t="s">
        <v>148</v>
      </c>
      <c r="Z10" s="18" t="s">
        <v>50</v>
      </c>
      <c r="AA10" s="25" t="s">
        <v>149</v>
      </c>
      <c r="AB10" s="19"/>
      <c r="AC10" s="20"/>
      <c r="AD10" s="21" t="s">
        <v>82</v>
      </c>
      <c r="AE10" s="20"/>
    </row>
    <row r="11" ht="40.5" customHeight="1">
      <c r="A11" s="13">
        <v>9.0</v>
      </c>
      <c r="B11" s="14" t="s">
        <v>138</v>
      </c>
      <c r="C11" s="14">
        <f>IFERROR(__xludf.DUMMYFUNCTION("SPLIT(B11,""_"")"),2023.0)</f>
        <v>2023</v>
      </c>
      <c r="D11" s="14" t="str">
        <f>IFERROR(__xludf.DUMMYFUNCTION("""COMPUTED_VALUE"""),"Su")</f>
        <v>Su</v>
      </c>
      <c r="E11" s="14" t="str">
        <f>IFERROR(__xludf.DUMMYFUNCTION("""COMPUTED_VALUE"""),"BRM")</f>
        <v>BRM</v>
      </c>
      <c r="F11" s="14" t="s">
        <v>150</v>
      </c>
      <c r="G11" s="14" t="s">
        <v>33</v>
      </c>
      <c r="H11" s="14" t="s">
        <v>55</v>
      </c>
      <c r="I11" s="13">
        <v>24325.0</v>
      </c>
      <c r="J11" s="26" t="s">
        <v>151</v>
      </c>
      <c r="K11" s="13">
        <v>1300.0</v>
      </c>
      <c r="L11" s="13" t="s">
        <v>152</v>
      </c>
      <c r="M11" s="14">
        <v>21.0</v>
      </c>
      <c r="N11" s="14" t="s">
        <v>58</v>
      </c>
      <c r="O11" s="14" t="s">
        <v>153</v>
      </c>
      <c r="P11" s="14" t="s">
        <v>50</v>
      </c>
      <c r="Q11" s="14" t="s">
        <v>154</v>
      </c>
      <c r="R11" s="14" t="s">
        <v>42</v>
      </c>
      <c r="S11" s="14" t="s">
        <v>93</v>
      </c>
      <c r="T11" s="14" t="s">
        <v>155</v>
      </c>
      <c r="U11" s="14" t="s">
        <v>156</v>
      </c>
      <c r="V11" s="14" t="s">
        <v>157</v>
      </c>
      <c r="W11" s="14" t="s">
        <v>158</v>
      </c>
      <c r="X11" s="14" t="s">
        <v>159</v>
      </c>
      <c r="Y11" s="14" t="s">
        <v>50</v>
      </c>
      <c r="Z11" s="14" t="s">
        <v>50</v>
      </c>
      <c r="AA11" s="25" t="s">
        <v>160</v>
      </c>
      <c r="AB11" s="19"/>
      <c r="AC11" s="20"/>
      <c r="AD11" s="21" t="s">
        <v>82</v>
      </c>
      <c r="AE11" s="20"/>
    </row>
    <row r="12" ht="40.5" customHeight="1">
      <c r="A12" s="13">
        <v>10.0</v>
      </c>
      <c r="B12" s="14" t="s">
        <v>161</v>
      </c>
      <c r="C12" s="14">
        <f>IFERROR(__xludf.DUMMYFUNCTION("SPLIT(B12,""_"")"),2024.0)</f>
        <v>2024</v>
      </c>
      <c r="D12" s="14" t="str">
        <f>IFERROR(__xludf.DUMMYFUNCTION("""COMPUTED_VALUE"""),"Chan")</f>
        <v>Chan</v>
      </c>
      <c r="E12" s="14" t="str">
        <f>IFERROR(__xludf.DUMMYFUNCTION("""COMPUTED_VALUE"""),"BRM")</f>
        <v>BRM</v>
      </c>
      <c r="F12" s="14" t="s">
        <v>162</v>
      </c>
      <c r="G12" s="14" t="s">
        <v>33</v>
      </c>
      <c r="H12" s="14" t="s">
        <v>126</v>
      </c>
      <c r="I12" s="26">
        <v>25291.0</v>
      </c>
      <c r="J12" s="26" t="s">
        <v>163</v>
      </c>
      <c r="K12" s="26">
        <v>360.0</v>
      </c>
      <c r="L12" s="13" t="s">
        <v>164</v>
      </c>
      <c r="M12" s="14">
        <v>20.0</v>
      </c>
      <c r="N12" s="14" t="s">
        <v>58</v>
      </c>
      <c r="O12" s="14" t="s">
        <v>165</v>
      </c>
      <c r="P12" s="14" t="s">
        <v>166</v>
      </c>
      <c r="Q12" s="25" t="s">
        <v>167</v>
      </c>
      <c r="R12" s="14" t="s">
        <v>42</v>
      </c>
      <c r="S12" s="14" t="s">
        <v>43</v>
      </c>
      <c r="T12" s="14" t="s">
        <v>168</v>
      </c>
      <c r="U12" s="14" t="s">
        <v>169</v>
      </c>
      <c r="V12" s="14" t="s">
        <v>170</v>
      </c>
      <c r="W12" s="34" t="s">
        <v>171</v>
      </c>
      <c r="X12" s="14" t="s">
        <v>172</v>
      </c>
      <c r="Y12" s="14" t="s">
        <v>173</v>
      </c>
      <c r="Z12" s="18" t="s">
        <v>50</v>
      </c>
      <c r="AA12" s="25" t="s">
        <v>174</v>
      </c>
      <c r="AB12" s="19"/>
      <c r="AC12" s="20"/>
      <c r="AD12" s="35" t="s">
        <v>175</v>
      </c>
      <c r="AE12" s="20"/>
    </row>
    <row r="13" ht="40.5" customHeight="1">
      <c r="A13" s="13">
        <v>11.0</v>
      </c>
      <c r="B13" s="30" t="s">
        <v>176</v>
      </c>
      <c r="C13" s="14">
        <f>IFERROR(__xludf.DUMMYFUNCTION("SPLIT(B13,""_"")"),2018.0)</f>
        <v>2018</v>
      </c>
      <c r="D13" s="14" t="str">
        <f>IFERROR(__xludf.DUMMYFUNCTION("""COMPUTED_VALUE"""),"Kraljević")</f>
        <v>Kraljević</v>
      </c>
      <c r="E13" s="14" t="str">
        <f>IFERROR(__xludf.DUMMYFUNCTION("""COMPUTED_VALUE"""),"Suvremena lingvistika")</f>
        <v>Suvremena lingvistika</v>
      </c>
      <c r="F13" s="30" t="s">
        <v>177</v>
      </c>
      <c r="G13" s="30" t="s">
        <v>178</v>
      </c>
      <c r="H13" s="30" t="s">
        <v>179</v>
      </c>
      <c r="I13" s="36">
        <v>500.0</v>
      </c>
      <c r="J13" s="37" t="s">
        <v>180</v>
      </c>
      <c r="K13" s="36">
        <v>197.0</v>
      </c>
      <c r="L13" s="37" t="s">
        <v>181</v>
      </c>
      <c r="M13" s="30" t="s">
        <v>182</v>
      </c>
      <c r="N13" s="30" t="s">
        <v>38</v>
      </c>
      <c r="O13" s="30" t="s">
        <v>183</v>
      </c>
      <c r="P13" s="30" t="s">
        <v>184</v>
      </c>
      <c r="Q13" s="30" t="s">
        <v>40</v>
      </c>
      <c r="R13" s="30" t="s">
        <v>43</v>
      </c>
      <c r="S13" s="30" t="s">
        <v>43</v>
      </c>
      <c r="T13" s="30" t="s">
        <v>40</v>
      </c>
      <c r="U13" s="30" t="s">
        <v>185</v>
      </c>
      <c r="V13" s="30" t="s">
        <v>186</v>
      </c>
      <c r="W13" s="30" t="s">
        <v>187</v>
      </c>
      <c r="X13" s="30" t="s">
        <v>187</v>
      </c>
      <c r="Y13" s="30" t="s">
        <v>188</v>
      </c>
      <c r="Z13" s="30" t="s">
        <v>50</v>
      </c>
      <c r="AA13" s="38" t="s">
        <v>189</v>
      </c>
      <c r="AB13" s="39" t="s">
        <v>190</v>
      </c>
      <c r="AC13" s="40"/>
      <c r="AD13" s="21" t="s">
        <v>82</v>
      </c>
      <c r="AE13" s="40"/>
      <c r="AF13" s="41"/>
      <c r="AG13" s="41"/>
      <c r="AH13" s="41"/>
      <c r="AI13" s="41"/>
      <c r="AJ13" s="41"/>
      <c r="AK13" s="41"/>
      <c r="AL13" s="41"/>
      <c r="AM13" s="41"/>
      <c r="AN13" s="41"/>
      <c r="AO13" s="41"/>
      <c r="AP13" s="41"/>
      <c r="AQ13" s="41"/>
      <c r="AR13" s="41"/>
    </row>
    <row r="14" ht="40.5" customHeight="1">
      <c r="A14" s="13">
        <v>12.0</v>
      </c>
      <c r="B14" s="14" t="s">
        <v>191</v>
      </c>
      <c r="C14" s="14">
        <f>IFERROR(__xludf.DUMMYFUNCTION("SPLIT(B14,""_"")"),2021.0)</f>
        <v>2021</v>
      </c>
      <c r="D14" s="14" t="str">
        <f>IFERROR(__xludf.DUMMYFUNCTION("""COMPUTED_VALUE"""),"Peti-Stantić")</f>
        <v>Peti-Stantić</v>
      </c>
      <c r="E14" s="14" t="str">
        <f>IFERROR(__xludf.DUMMYFUNCTION("""COMPUTED_VALUE"""),"BRM")</f>
        <v>BRM</v>
      </c>
      <c r="F14" s="14" t="s">
        <v>192</v>
      </c>
      <c r="G14" s="14" t="s">
        <v>178</v>
      </c>
      <c r="H14" s="14" t="s">
        <v>193</v>
      </c>
      <c r="I14" s="13">
        <v>6000.0</v>
      </c>
      <c r="J14" s="13" t="s">
        <v>194</v>
      </c>
      <c r="K14" s="13">
        <v>3630.0</v>
      </c>
      <c r="L14" s="14" t="s">
        <v>36</v>
      </c>
      <c r="M14" s="14" t="s">
        <v>195</v>
      </c>
      <c r="N14" s="14" t="s">
        <v>38</v>
      </c>
      <c r="O14" s="14" t="s">
        <v>196</v>
      </c>
      <c r="P14" s="14" t="s">
        <v>197</v>
      </c>
      <c r="Q14" s="14" t="s">
        <v>40</v>
      </c>
      <c r="R14" s="14" t="s">
        <v>43</v>
      </c>
      <c r="S14" s="14" t="s">
        <v>43</v>
      </c>
      <c r="T14" s="14" t="s">
        <v>40</v>
      </c>
      <c r="U14" s="14" t="s">
        <v>198</v>
      </c>
      <c r="V14" s="14" t="s">
        <v>199</v>
      </c>
      <c r="W14" s="14" t="s">
        <v>200</v>
      </c>
      <c r="X14" s="14" t="s">
        <v>201</v>
      </c>
      <c r="Y14" s="14" t="s">
        <v>202</v>
      </c>
      <c r="Z14" s="18" t="s">
        <v>50</v>
      </c>
      <c r="AA14" s="42" t="s">
        <v>203</v>
      </c>
      <c r="AB14" s="42" t="s">
        <v>204</v>
      </c>
      <c r="AC14" s="43"/>
      <c r="AD14" s="21" t="s">
        <v>82</v>
      </c>
      <c r="AE14" s="43"/>
      <c r="AF14" s="44"/>
      <c r="AG14" s="44"/>
      <c r="AH14" s="44"/>
      <c r="AI14" s="44"/>
      <c r="AJ14" s="44"/>
      <c r="AK14" s="44"/>
      <c r="AL14" s="44"/>
      <c r="AM14" s="44"/>
      <c r="AN14" s="44"/>
      <c r="AO14" s="44"/>
      <c r="AP14" s="44"/>
      <c r="AQ14" s="44"/>
      <c r="AR14" s="44"/>
    </row>
    <row r="15" ht="40.5" customHeight="1">
      <c r="A15" s="13">
        <v>13.0</v>
      </c>
      <c r="B15" s="14" t="s">
        <v>205</v>
      </c>
      <c r="C15" s="14">
        <f>IFERROR(__xludf.DUMMYFUNCTION("SPLIT(B15,""_"")"),2008.0)</f>
        <v>2008</v>
      </c>
      <c r="D15" s="14" t="str">
        <f>IFERROR(__xludf.DUMMYFUNCTION("""COMPUTED_VALUE"""),"De Deyne")</f>
        <v>De Deyne</v>
      </c>
      <c r="E15" s="14" t="str">
        <f>IFERROR(__xludf.DUMMYFUNCTION("""COMPUTED_VALUE"""),"BRM")</f>
        <v>BRM</v>
      </c>
      <c r="F15" s="14" t="s">
        <v>206</v>
      </c>
      <c r="G15" s="14" t="s">
        <v>207</v>
      </c>
      <c r="H15" s="14" t="s">
        <v>179</v>
      </c>
      <c r="I15" s="13">
        <v>425.0</v>
      </c>
      <c r="J15" s="23" t="s">
        <v>208</v>
      </c>
      <c r="K15" s="13">
        <v>112.0</v>
      </c>
      <c r="L15" s="14" t="s">
        <v>36</v>
      </c>
      <c r="M15" s="14">
        <v>28.0</v>
      </c>
      <c r="N15" s="14" t="s">
        <v>38</v>
      </c>
      <c r="O15" s="14" t="s">
        <v>209</v>
      </c>
      <c r="P15" s="14" t="s">
        <v>40</v>
      </c>
      <c r="Q15" s="14" t="s">
        <v>210</v>
      </c>
      <c r="R15" s="14" t="s">
        <v>42</v>
      </c>
      <c r="S15" s="14" t="s">
        <v>43</v>
      </c>
      <c r="T15" s="14" t="s">
        <v>40</v>
      </c>
      <c r="U15" s="14" t="s">
        <v>211</v>
      </c>
      <c r="V15" s="14" t="s">
        <v>212</v>
      </c>
      <c r="W15" s="14" t="s">
        <v>40</v>
      </c>
      <c r="X15" s="14" t="s">
        <v>40</v>
      </c>
      <c r="Y15" s="14" t="s">
        <v>213</v>
      </c>
      <c r="Z15" s="45" t="s">
        <v>214</v>
      </c>
      <c r="AA15" s="25" t="s">
        <v>214</v>
      </c>
      <c r="AB15" s="19"/>
      <c r="AC15" s="20"/>
      <c r="AD15" s="21" t="s">
        <v>215</v>
      </c>
      <c r="AE15" s="20"/>
    </row>
    <row r="16" ht="40.5" customHeight="1">
      <c r="A16" s="13">
        <v>14.0</v>
      </c>
      <c r="B16" s="14" t="s">
        <v>216</v>
      </c>
      <c r="C16" s="14">
        <f>IFERROR(__xludf.DUMMYFUNCTION("SPLIT(B16,""_"")"),2020.0)</f>
        <v>2020</v>
      </c>
      <c r="D16" s="14" t="str">
        <f>IFERROR(__xludf.DUMMYFUNCTION("""COMPUTED_VALUE"""),"Verheyen")</f>
        <v>Verheyen</v>
      </c>
      <c r="E16" s="14" t="str">
        <f>IFERROR(__xludf.DUMMYFUNCTION("""COMPUTED_VALUE"""),"BRM")</f>
        <v>BRM</v>
      </c>
      <c r="F16" s="14" t="s">
        <v>217</v>
      </c>
      <c r="G16" s="14" t="s">
        <v>207</v>
      </c>
      <c r="H16" s="14" t="s">
        <v>218</v>
      </c>
      <c r="I16" s="13">
        <v>1000.0</v>
      </c>
      <c r="J16" s="23" t="s">
        <v>219</v>
      </c>
      <c r="K16" s="13">
        <v>1300.0</v>
      </c>
      <c r="L16" s="14" t="s">
        <v>36</v>
      </c>
      <c r="M16" s="14" t="s">
        <v>220</v>
      </c>
      <c r="N16" s="14" t="s">
        <v>58</v>
      </c>
      <c r="O16" s="14" t="s">
        <v>221</v>
      </c>
      <c r="P16" s="14" t="s">
        <v>222</v>
      </c>
      <c r="Q16" s="14" t="s">
        <v>223</v>
      </c>
      <c r="R16" s="14" t="s">
        <v>42</v>
      </c>
      <c r="S16" s="14" t="s">
        <v>43</v>
      </c>
      <c r="T16" s="14" t="s">
        <v>40</v>
      </c>
      <c r="U16" s="14" t="s">
        <v>224</v>
      </c>
      <c r="V16" s="14" t="s">
        <v>225</v>
      </c>
      <c r="W16" s="14" t="s">
        <v>226</v>
      </c>
      <c r="X16" s="14" t="s">
        <v>227</v>
      </c>
      <c r="Y16" s="14" t="s">
        <v>228</v>
      </c>
      <c r="Z16" s="25" t="s">
        <v>229</v>
      </c>
      <c r="AA16" s="33"/>
      <c r="AB16" s="14" t="s">
        <v>230</v>
      </c>
      <c r="AC16" s="20"/>
      <c r="AD16" s="21" t="s">
        <v>82</v>
      </c>
      <c r="AE16" s="20"/>
    </row>
    <row r="17" ht="40.5" customHeight="1">
      <c r="A17" s="13">
        <v>15.0</v>
      </c>
      <c r="B17" s="14" t="s">
        <v>231</v>
      </c>
      <c r="C17" s="14">
        <f>IFERROR(__xludf.DUMMYFUNCTION("SPLIT(B17,""_"")"),2023.0)</f>
        <v>2023</v>
      </c>
      <c r="D17" s="14" t="str">
        <f>IFERROR(__xludf.DUMMYFUNCTION("""COMPUTED_VALUE"""),"Raslescu")</f>
        <v>Raslescu</v>
      </c>
      <c r="E17" s="14" t="str">
        <f>IFERROR(__xludf.DUMMYFUNCTION("""COMPUTED_VALUE"""),"DIB")</f>
        <v>DIB</v>
      </c>
      <c r="F17" s="14" t="s">
        <v>232</v>
      </c>
      <c r="G17" s="14" t="s">
        <v>233</v>
      </c>
      <c r="H17" s="14" t="s">
        <v>234</v>
      </c>
      <c r="I17" s="13">
        <v>300.0</v>
      </c>
      <c r="J17" s="14" t="s">
        <v>235</v>
      </c>
      <c r="K17" s="13">
        <v>202.0</v>
      </c>
      <c r="L17" s="46" t="s">
        <v>40</v>
      </c>
      <c r="M17" s="14">
        <v>198.0</v>
      </c>
      <c r="N17" s="14" t="s">
        <v>236</v>
      </c>
      <c r="O17" s="14" t="s">
        <v>237</v>
      </c>
      <c r="P17" s="14" t="s">
        <v>238</v>
      </c>
      <c r="Q17" s="14" t="s">
        <v>40</v>
      </c>
      <c r="R17" s="14" t="s">
        <v>43</v>
      </c>
      <c r="S17" s="14" t="s">
        <v>43</v>
      </c>
      <c r="T17" s="14" t="s">
        <v>239</v>
      </c>
      <c r="U17" s="14" t="s">
        <v>40</v>
      </c>
      <c r="V17" s="14" t="s">
        <v>40</v>
      </c>
      <c r="W17" s="14" t="s">
        <v>40</v>
      </c>
      <c r="X17" s="14" t="s">
        <v>240</v>
      </c>
      <c r="Y17" s="14" t="s">
        <v>241</v>
      </c>
      <c r="Z17" s="25" t="s">
        <v>242</v>
      </c>
      <c r="AA17" s="25" t="s">
        <v>242</v>
      </c>
      <c r="AB17" s="19"/>
      <c r="AC17" s="20"/>
      <c r="AD17" s="21" t="s">
        <v>82</v>
      </c>
      <c r="AE17" s="20"/>
    </row>
    <row r="18" ht="40.5" customHeight="1">
      <c r="A18" s="13">
        <v>16.0</v>
      </c>
      <c r="B18" s="14" t="s">
        <v>243</v>
      </c>
      <c r="C18" s="14">
        <f>IFERROR(__xludf.DUMMYFUNCTION("SPLIT(B18,""_"")"),1999.0)</f>
        <v>1999</v>
      </c>
      <c r="D18" s="14" t="str">
        <f>IFERROR(__xludf.DUMMYFUNCTION("""COMPUTED_VALUE"""),"Surprenant")</f>
        <v>Surprenant</v>
      </c>
      <c r="E18" s="14" t="str">
        <f>IFERROR(__xludf.DUMMYFUNCTION("""COMPUTED_VALUE"""),"BRM")</f>
        <v>BRM</v>
      </c>
      <c r="F18" s="14" t="s">
        <v>244</v>
      </c>
      <c r="G18" s="14" t="s">
        <v>233</v>
      </c>
      <c r="H18" s="14" t="s">
        <v>245</v>
      </c>
      <c r="I18" s="13">
        <v>398.0</v>
      </c>
      <c r="J18" s="26" t="s">
        <v>246</v>
      </c>
      <c r="K18" s="13">
        <v>63.0</v>
      </c>
      <c r="L18" s="14" t="s">
        <v>36</v>
      </c>
      <c r="M18" s="14">
        <v>63.0</v>
      </c>
      <c r="N18" s="14" t="s">
        <v>58</v>
      </c>
      <c r="O18" s="14" t="s">
        <v>247</v>
      </c>
      <c r="P18" s="14" t="s">
        <v>248</v>
      </c>
      <c r="Q18" s="14" t="s">
        <v>40</v>
      </c>
      <c r="R18" s="14" t="s">
        <v>42</v>
      </c>
      <c r="S18" s="14" t="s">
        <v>43</v>
      </c>
      <c r="T18" s="18" t="s">
        <v>249</v>
      </c>
      <c r="U18" s="18" t="s">
        <v>250</v>
      </c>
      <c r="V18" s="18" t="s">
        <v>251</v>
      </c>
      <c r="W18" s="18" t="s">
        <v>252</v>
      </c>
      <c r="X18" s="18" t="s">
        <v>253</v>
      </c>
      <c r="Y18" s="18" t="s">
        <v>254</v>
      </c>
      <c r="Z18" s="14" t="s">
        <v>50</v>
      </c>
      <c r="AA18" s="25" t="s">
        <v>255</v>
      </c>
      <c r="AB18" s="18"/>
      <c r="AC18" s="20"/>
      <c r="AD18" s="21" t="s">
        <v>82</v>
      </c>
      <c r="AE18" s="20"/>
    </row>
    <row r="19" ht="40.5" customHeight="1">
      <c r="A19" s="13">
        <v>17.0</v>
      </c>
      <c r="B19" s="14" t="s">
        <v>256</v>
      </c>
      <c r="C19" s="14">
        <f>IFERROR(__xludf.DUMMYFUNCTION("SPLIT(B19,""_"")"),2008.0)</f>
        <v>2008</v>
      </c>
      <c r="D19" s="14" t="str">
        <f>IFERROR(__xludf.DUMMYFUNCTION("""COMPUTED_VALUE"""),"Janschewitz")</f>
        <v>Janschewitz</v>
      </c>
      <c r="E19" s="14" t="str">
        <f>IFERROR(__xludf.DUMMYFUNCTION("""COMPUTED_VALUE"""),"BRM")</f>
        <v>BRM</v>
      </c>
      <c r="F19" s="14" t="s">
        <v>257</v>
      </c>
      <c r="G19" s="14" t="s">
        <v>233</v>
      </c>
      <c r="H19" s="14" t="s">
        <v>68</v>
      </c>
      <c r="I19" s="26">
        <v>460.0</v>
      </c>
      <c r="J19" s="26" t="s">
        <v>258</v>
      </c>
      <c r="K19" s="26">
        <v>78.0</v>
      </c>
      <c r="L19" s="14" t="s">
        <v>36</v>
      </c>
      <c r="M19" s="14">
        <v>78.0</v>
      </c>
      <c r="N19" s="14" t="s">
        <v>70</v>
      </c>
      <c r="O19" s="14" t="s">
        <v>259</v>
      </c>
      <c r="P19" s="14" t="s">
        <v>260</v>
      </c>
      <c r="Q19" s="14" t="s">
        <v>40</v>
      </c>
      <c r="R19" s="14" t="s">
        <v>261</v>
      </c>
      <c r="S19" s="14" t="s">
        <v>262</v>
      </c>
      <c r="T19" s="18" t="s">
        <v>263</v>
      </c>
      <c r="U19" s="18" t="s">
        <v>40</v>
      </c>
      <c r="V19" s="18" t="s">
        <v>40</v>
      </c>
      <c r="W19" s="18" t="s">
        <v>264</v>
      </c>
      <c r="X19" s="18" t="s">
        <v>265</v>
      </c>
      <c r="Y19" s="18" t="s">
        <v>266</v>
      </c>
      <c r="Z19" s="18" t="s">
        <v>50</v>
      </c>
      <c r="AA19" s="47" t="s">
        <v>267</v>
      </c>
      <c r="AB19" s="20"/>
      <c r="AC19" s="20"/>
      <c r="AD19" s="21" t="s">
        <v>82</v>
      </c>
      <c r="AE19" s="20"/>
    </row>
    <row r="20" ht="40.5" customHeight="1">
      <c r="A20" s="13">
        <v>18.0</v>
      </c>
      <c r="B20" s="14" t="s">
        <v>268</v>
      </c>
      <c r="C20" s="14">
        <f>IFERROR(__xludf.DUMMYFUNCTION("SPLIT(B20,""_"")"),2015.0)</f>
        <v>2015</v>
      </c>
      <c r="D20" s="14" t="str">
        <f>IFERROR(__xludf.DUMMYFUNCTION("""COMPUTED_VALUE"""),"Juhasz")</f>
        <v>Juhasz</v>
      </c>
      <c r="E20" s="14" t="str">
        <f>IFERROR(__xludf.DUMMYFUNCTION("""COMPUTED_VALUE"""),"BRM")</f>
        <v>BRM</v>
      </c>
      <c r="F20" s="14" t="s">
        <v>269</v>
      </c>
      <c r="G20" s="14" t="s">
        <v>233</v>
      </c>
      <c r="H20" s="48" t="s">
        <v>270</v>
      </c>
      <c r="I20" s="13">
        <v>629.0</v>
      </c>
      <c r="J20" s="26" t="s">
        <v>271</v>
      </c>
      <c r="K20" s="13">
        <v>28.0</v>
      </c>
      <c r="L20" s="14" t="s">
        <v>36</v>
      </c>
      <c r="M20" s="14">
        <v>14.0</v>
      </c>
      <c r="N20" s="14" t="s">
        <v>58</v>
      </c>
      <c r="O20" s="14" t="s">
        <v>272</v>
      </c>
      <c r="P20" s="14" t="s">
        <v>273</v>
      </c>
      <c r="Q20" s="14" t="s">
        <v>274</v>
      </c>
      <c r="R20" s="14" t="s">
        <v>42</v>
      </c>
      <c r="S20" s="14" t="s">
        <v>93</v>
      </c>
      <c r="T20" s="18" t="s">
        <v>275</v>
      </c>
      <c r="U20" s="18" t="s">
        <v>276</v>
      </c>
      <c r="V20" s="18" t="s">
        <v>277</v>
      </c>
      <c r="W20" s="18" t="s">
        <v>278</v>
      </c>
      <c r="X20" s="18" t="s">
        <v>279</v>
      </c>
      <c r="Y20" s="18" t="s">
        <v>280</v>
      </c>
      <c r="Z20" s="18" t="s">
        <v>50</v>
      </c>
      <c r="AA20" s="49" t="s">
        <v>281</v>
      </c>
      <c r="AB20" s="47" t="s">
        <v>282</v>
      </c>
      <c r="AC20" s="50"/>
      <c r="AD20" s="51" t="s">
        <v>283</v>
      </c>
      <c r="AE20" s="52"/>
    </row>
    <row r="21" ht="40.5" customHeight="1">
      <c r="A21" s="13">
        <v>19.0</v>
      </c>
      <c r="B21" s="14" t="s">
        <v>284</v>
      </c>
      <c r="C21" s="14">
        <f>IFERROR(__xludf.DUMMYFUNCTION("SPLIT(B21,""_"")"),2006.0)</f>
        <v>2006</v>
      </c>
      <c r="D21" s="14" t="str">
        <f>IFERROR(__xludf.DUMMYFUNCTION("""COMPUTED_VALUE"""),"Stadthagen-Gonzalez")</f>
        <v>Stadthagen-Gonzalez</v>
      </c>
      <c r="E21" s="14" t="str">
        <f>IFERROR(__xludf.DUMMYFUNCTION("""COMPUTED_VALUE"""),"BRM")</f>
        <v>BRM</v>
      </c>
      <c r="F21" s="14" t="s">
        <v>285</v>
      </c>
      <c r="G21" s="14" t="s">
        <v>233</v>
      </c>
      <c r="H21" s="14" t="s">
        <v>55</v>
      </c>
      <c r="I21" s="13">
        <v>1526.0</v>
      </c>
      <c r="J21" s="26" t="s">
        <v>286</v>
      </c>
      <c r="K21" s="13">
        <v>100.0</v>
      </c>
      <c r="L21" s="14" t="s">
        <v>36</v>
      </c>
      <c r="M21" s="14">
        <v>20.0</v>
      </c>
      <c r="N21" s="14" t="s">
        <v>58</v>
      </c>
      <c r="O21" s="14" t="s">
        <v>287</v>
      </c>
      <c r="P21" s="14" t="s">
        <v>288</v>
      </c>
      <c r="Q21" s="14" t="s">
        <v>289</v>
      </c>
      <c r="R21" s="14" t="s">
        <v>42</v>
      </c>
      <c r="S21" s="14" t="s">
        <v>43</v>
      </c>
      <c r="T21" s="18" t="s">
        <v>290</v>
      </c>
      <c r="U21" s="18" t="s">
        <v>291</v>
      </c>
      <c r="V21" s="18" t="s">
        <v>292</v>
      </c>
      <c r="W21" s="18" t="s">
        <v>293</v>
      </c>
      <c r="X21" s="18" t="s">
        <v>294</v>
      </c>
      <c r="Y21" s="18" t="s">
        <v>295</v>
      </c>
      <c r="Z21" s="14" t="s">
        <v>296</v>
      </c>
      <c r="AA21" s="48" t="s">
        <v>297</v>
      </c>
      <c r="AB21" s="53"/>
      <c r="AC21" s="21" t="s">
        <v>298</v>
      </c>
      <c r="AD21" s="35" t="s">
        <v>299</v>
      </c>
      <c r="AE21" s="22"/>
    </row>
    <row r="22" ht="40.5" customHeight="1">
      <c r="A22" s="13">
        <v>20.0</v>
      </c>
      <c r="B22" s="14" t="s">
        <v>300</v>
      </c>
      <c r="C22" s="14">
        <f>IFERROR(__xludf.DUMMYFUNCTION("SPLIT(B22,""_"")"),2016.0)</f>
        <v>2016</v>
      </c>
      <c r="D22" s="14" t="str">
        <f>IFERROR(__xludf.DUMMYFUNCTION("""COMPUTED_VALUE"""),"Gru ̈hn")</f>
        <v>Gru ̈hn</v>
      </c>
      <c r="E22" s="14" t="str">
        <f>IFERROR(__xludf.DUMMYFUNCTION("""COMPUTED_VALUE"""),"PsycholRep")</f>
        <v>PsycholRep</v>
      </c>
      <c r="F22" s="14" t="s">
        <v>301</v>
      </c>
      <c r="G22" s="14" t="s">
        <v>233</v>
      </c>
      <c r="H22" s="14" t="s">
        <v>302</v>
      </c>
      <c r="I22" s="13">
        <v>2272.0</v>
      </c>
      <c r="J22" s="26" t="s">
        <v>303</v>
      </c>
      <c r="K22" s="13" t="s">
        <v>304</v>
      </c>
      <c r="L22" s="14" t="s">
        <v>36</v>
      </c>
      <c r="M22" s="14" t="s">
        <v>305</v>
      </c>
      <c r="N22" s="14" t="s">
        <v>58</v>
      </c>
      <c r="O22" s="14" t="s">
        <v>306</v>
      </c>
      <c r="P22" s="14" t="s">
        <v>307</v>
      </c>
      <c r="Q22" s="14" t="s">
        <v>40</v>
      </c>
      <c r="R22" s="14" t="s">
        <v>42</v>
      </c>
      <c r="S22" s="14" t="s">
        <v>43</v>
      </c>
      <c r="T22" s="18" t="s">
        <v>308</v>
      </c>
      <c r="U22" s="18" t="s">
        <v>40</v>
      </c>
      <c r="V22" s="18" t="s">
        <v>40</v>
      </c>
      <c r="W22" s="18" t="s">
        <v>309</v>
      </c>
      <c r="X22" s="18" t="s">
        <v>310</v>
      </c>
      <c r="Y22" s="18" t="s">
        <v>311</v>
      </c>
      <c r="Z22" s="18" t="s">
        <v>50</v>
      </c>
      <c r="AA22" s="47" t="s">
        <v>312</v>
      </c>
      <c r="AB22" s="20"/>
      <c r="AC22" s="20"/>
      <c r="AD22" s="21" t="s">
        <v>82</v>
      </c>
      <c r="AE22" s="20"/>
    </row>
    <row r="23" ht="40.5" customHeight="1">
      <c r="A23" s="13">
        <v>21.0</v>
      </c>
      <c r="B23" s="14" t="s">
        <v>313</v>
      </c>
      <c r="C23" s="14">
        <f>IFERROR(__xludf.DUMMYFUNCTION("SPLIT(B23,""_"")"),2004.0)</f>
        <v>2004</v>
      </c>
      <c r="D23" s="14" t="str">
        <f>IFERROR(__xludf.DUMMYFUNCTION("""COMPUTED_VALUE"""),"Clark")</f>
        <v>Clark</v>
      </c>
      <c r="E23" s="14" t="str">
        <f>IFERROR(__xludf.DUMMYFUNCTION("""COMPUTED_VALUE"""),"BRM")</f>
        <v>BRM</v>
      </c>
      <c r="F23" s="14" t="s">
        <v>314</v>
      </c>
      <c r="G23" s="14" t="s">
        <v>233</v>
      </c>
      <c r="H23" s="14" t="s">
        <v>55</v>
      </c>
      <c r="I23" s="13">
        <v>2311.0</v>
      </c>
      <c r="J23" s="26" t="s">
        <v>315</v>
      </c>
      <c r="K23" s="13" t="s">
        <v>316</v>
      </c>
      <c r="L23" s="14" t="s">
        <v>36</v>
      </c>
      <c r="M23" s="14" t="s">
        <v>317</v>
      </c>
      <c r="N23" s="14" t="s">
        <v>58</v>
      </c>
      <c r="O23" s="14" t="s">
        <v>318</v>
      </c>
      <c r="P23" s="14" t="s">
        <v>40</v>
      </c>
      <c r="Q23" s="14" t="s">
        <v>40</v>
      </c>
      <c r="R23" s="14" t="s">
        <v>42</v>
      </c>
      <c r="S23" s="14" t="s">
        <v>319</v>
      </c>
      <c r="T23" s="18" t="s">
        <v>320</v>
      </c>
      <c r="U23" s="18" t="s">
        <v>321</v>
      </c>
      <c r="V23" s="18" t="s">
        <v>322</v>
      </c>
      <c r="W23" s="18" t="s">
        <v>323</v>
      </c>
      <c r="X23" s="18" t="s">
        <v>324</v>
      </c>
      <c r="Y23" s="18" t="s">
        <v>325</v>
      </c>
      <c r="Z23" s="18" t="s">
        <v>50</v>
      </c>
      <c r="AA23" s="47" t="s">
        <v>326</v>
      </c>
      <c r="AB23" s="20"/>
      <c r="AC23" s="20"/>
      <c r="AD23" s="21" t="s">
        <v>82</v>
      </c>
      <c r="AE23" s="20"/>
    </row>
    <row r="24" ht="40.5" customHeight="1">
      <c r="A24" s="13">
        <v>22.0</v>
      </c>
      <c r="B24" s="14" t="s">
        <v>327</v>
      </c>
      <c r="C24" s="14">
        <f>IFERROR(__xludf.DUMMYFUNCTION("SPLIT(B24,""_"")"),2001.0)</f>
        <v>2001</v>
      </c>
      <c r="D24" s="14" t="str">
        <f>IFERROR(__xludf.DUMMYFUNCTION("""COMPUTED_VALUE"""),"Balota")</f>
        <v>Balota</v>
      </c>
      <c r="E24" s="14" t="str">
        <f>IFERROR(__xludf.DUMMYFUNCTION("""COMPUTED_VALUE"""),"CogMem")</f>
        <v>CogMem</v>
      </c>
      <c r="F24" s="14" t="s">
        <v>328</v>
      </c>
      <c r="G24" s="14" t="s">
        <v>233</v>
      </c>
      <c r="H24" s="14" t="s">
        <v>329</v>
      </c>
      <c r="I24" s="13">
        <v>2938.0</v>
      </c>
      <c r="J24" s="26" t="s">
        <v>330</v>
      </c>
      <c r="K24" s="13">
        <v>2254.0</v>
      </c>
      <c r="L24" s="26" t="s">
        <v>331</v>
      </c>
      <c r="M24" s="14" t="s">
        <v>332</v>
      </c>
      <c r="N24" s="14" t="s">
        <v>58</v>
      </c>
      <c r="O24" s="14" t="s">
        <v>333</v>
      </c>
      <c r="P24" s="14" t="s">
        <v>334</v>
      </c>
      <c r="Q24" s="14" t="s">
        <v>40</v>
      </c>
      <c r="R24" s="14" t="s">
        <v>43</v>
      </c>
      <c r="S24" s="14" t="s">
        <v>43</v>
      </c>
      <c r="T24" s="18" t="s">
        <v>335</v>
      </c>
      <c r="U24" s="18" t="s">
        <v>336</v>
      </c>
      <c r="V24" s="18" t="s">
        <v>337</v>
      </c>
      <c r="W24" s="18" t="s">
        <v>338</v>
      </c>
      <c r="X24" s="18" t="s">
        <v>339</v>
      </c>
      <c r="Y24" s="18" t="s">
        <v>340</v>
      </c>
      <c r="Z24" s="18" t="s">
        <v>50</v>
      </c>
      <c r="AA24" s="53" t="s">
        <v>341</v>
      </c>
      <c r="AB24" s="53" t="s">
        <v>342</v>
      </c>
      <c r="AC24" s="21" t="s">
        <v>343</v>
      </c>
      <c r="AD24" s="35" t="s">
        <v>344</v>
      </c>
      <c r="AE24" s="22"/>
    </row>
    <row r="25" ht="40.5" customHeight="1">
      <c r="A25" s="13">
        <v>23.0</v>
      </c>
      <c r="B25" s="14" t="s">
        <v>345</v>
      </c>
      <c r="C25" s="14">
        <f>IFERROR(__xludf.DUMMYFUNCTION("SPLIT(B25,""_"")"),2019.0)</f>
        <v>2019</v>
      </c>
      <c r="D25" s="14" t="str">
        <f>IFERROR(__xludf.DUMMYFUNCTION("""COMPUTED_VALUE"""),"Scott")</f>
        <v>Scott</v>
      </c>
      <c r="E25" s="14" t="str">
        <f>IFERROR(__xludf.DUMMYFUNCTION("""COMPUTED_VALUE"""),"BRM")</f>
        <v>BRM</v>
      </c>
      <c r="F25" s="14" t="s">
        <v>346</v>
      </c>
      <c r="G25" s="14" t="s">
        <v>233</v>
      </c>
      <c r="H25" s="14" t="s">
        <v>193</v>
      </c>
      <c r="I25" s="13">
        <v>5553.0</v>
      </c>
      <c r="J25" s="26" t="s">
        <v>347</v>
      </c>
      <c r="K25" s="13">
        <v>1368.0</v>
      </c>
      <c r="L25" s="14" t="s">
        <v>348</v>
      </c>
      <c r="M25" s="14" t="s">
        <v>349</v>
      </c>
      <c r="N25" s="14" t="s">
        <v>58</v>
      </c>
      <c r="O25" s="14" t="s">
        <v>350</v>
      </c>
      <c r="P25" s="14" t="s">
        <v>351</v>
      </c>
      <c r="Q25" s="14" t="s">
        <v>40</v>
      </c>
      <c r="R25" s="14" t="s">
        <v>42</v>
      </c>
      <c r="S25" s="14" t="s">
        <v>93</v>
      </c>
      <c r="T25" s="18" t="s">
        <v>352</v>
      </c>
      <c r="U25" s="18" t="s">
        <v>40</v>
      </c>
      <c r="V25" s="18" t="s">
        <v>40</v>
      </c>
      <c r="W25" s="18" t="s">
        <v>353</v>
      </c>
      <c r="X25" s="18" t="s">
        <v>354</v>
      </c>
      <c r="Y25" s="18" t="s">
        <v>355</v>
      </c>
      <c r="Z25" s="18" t="s">
        <v>50</v>
      </c>
      <c r="AA25" s="54" t="s">
        <v>356</v>
      </c>
      <c r="AB25" s="20"/>
      <c r="AC25" s="20"/>
      <c r="AD25" s="21" t="s">
        <v>82</v>
      </c>
      <c r="AE25" s="20"/>
    </row>
    <row r="26" ht="40.5" customHeight="1">
      <c r="A26" s="13">
        <v>24.0</v>
      </c>
      <c r="B26" s="14" t="s">
        <v>357</v>
      </c>
      <c r="C26" s="14">
        <f>IFERROR(__xludf.DUMMYFUNCTION("SPLIT(B26,""_"")"),2010.0)</f>
        <v>2010</v>
      </c>
      <c r="D26" s="14" t="str">
        <f>IFERROR(__xludf.DUMMYFUNCTION("""COMPUTED_VALUE"""),"Eilola")</f>
        <v>Eilola</v>
      </c>
      <c r="E26" s="14" t="str">
        <f>IFERROR(__xludf.DUMMYFUNCTION("""COMPUTED_VALUE"""),"BRM")</f>
        <v>BRM</v>
      </c>
      <c r="F26" s="14" t="s">
        <v>358</v>
      </c>
      <c r="G26" s="14" t="s">
        <v>359</v>
      </c>
      <c r="H26" s="14" t="s">
        <v>34</v>
      </c>
      <c r="I26" s="13">
        <v>210.0</v>
      </c>
      <c r="J26" s="26" t="s">
        <v>360</v>
      </c>
      <c r="K26" s="13" t="s">
        <v>361</v>
      </c>
      <c r="L26" s="14" t="s">
        <v>36</v>
      </c>
      <c r="M26" s="14" t="s">
        <v>362</v>
      </c>
      <c r="N26" s="14" t="s">
        <v>363</v>
      </c>
      <c r="O26" s="14" t="s">
        <v>364</v>
      </c>
      <c r="P26" s="14" t="s">
        <v>365</v>
      </c>
      <c r="Q26" s="14" t="s">
        <v>40</v>
      </c>
      <c r="R26" s="14" t="s">
        <v>42</v>
      </c>
      <c r="S26" s="14" t="s">
        <v>43</v>
      </c>
      <c r="T26" s="18" t="s">
        <v>366</v>
      </c>
      <c r="U26" s="18" t="s">
        <v>367</v>
      </c>
      <c r="V26" s="18" t="s">
        <v>368</v>
      </c>
      <c r="W26" s="18" t="s">
        <v>369</v>
      </c>
      <c r="X26" s="18" t="s">
        <v>370</v>
      </c>
      <c r="Y26" s="18" t="s">
        <v>371</v>
      </c>
      <c r="Z26" s="18" t="s">
        <v>50</v>
      </c>
      <c r="AA26" s="47" t="s">
        <v>372</v>
      </c>
      <c r="AB26" s="20"/>
      <c r="AC26" s="20"/>
      <c r="AD26" s="21" t="s">
        <v>373</v>
      </c>
      <c r="AE26" s="55" t="s">
        <v>374</v>
      </c>
    </row>
    <row r="27" ht="40.5" customHeight="1">
      <c r="A27" s="13">
        <v>25.0</v>
      </c>
      <c r="B27" s="14" t="s">
        <v>375</v>
      </c>
      <c r="C27" s="14">
        <f>IFERROR(__xludf.DUMMYFUNCTION("SPLIT(B27,""_"")"),2021.0)</f>
        <v>2021</v>
      </c>
      <c r="D27" s="14" t="str">
        <f>IFERROR(__xludf.DUMMYFUNCTION("""COMPUTED_VALUE"""),"Miceli")</f>
        <v>Miceli</v>
      </c>
      <c r="E27" s="14" t="str">
        <f>IFERROR(__xludf.DUMMYFUNCTION("""COMPUTED_VALUE"""),"FrontPsychol")</f>
        <v>FrontPsychol</v>
      </c>
      <c r="F27" s="14" t="s">
        <v>376</v>
      </c>
      <c r="G27" s="14" t="s">
        <v>377</v>
      </c>
      <c r="H27" s="14" t="s">
        <v>179</v>
      </c>
      <c r="I27" s="13">
        <v>270.0</v>
      </c>
      <c r="J27" s="26" t="s">
        <v>378</v>
      </c>
      <c r="K27" s="13">
        <v>96.0</v>
      </c>
      <c r="L27" s="14" t="s">
        <v>379</v>
      </c>
      <c r="M27" s="14">
        <v>96.0</v>
      </c>
      <c r="N27" s="14" t="s">
        <v>380</v>
      </c>
      <c r="O27" s="56" t="s">
        <v>381</v>
      </c>
      <c r="P27" s="56" t="s">
        <v>381</v>
      </c>
      <c r="Q27" s="14" t="s">
        <v>382</v>
      </c>
      <c r="R27" s="14" t="s">
        <v>42</v>
      </c>
      <c r="S27" s="14" t="s">
        <v>383</v>
      </c>
      <c r="T27" s="18" t="s">
        <v>40</v>
      </c>
      <c r="U27" s="18" t="s">
        <v>40</v>
      </c>
      <c r="V27" s="18" t="s">
        <v>40</v>
      </c>
      <c r="W27" s="18" t="s">
        <v>384</v>
      </c>
      <c r="X27" s="18" t="s">
        <v>385</v>
      </c>
      <c r="Y27" s="18" t="s">
        <v>386</v>
      </c>
      <c r="Z27" s="18" t="s">
        <v>50</v>
      </c>
      <c r="AA27" s="57" t="s">
        <v>387</v>
      </c>
      <c r="AB27" s="18" t="s">
        <v>388</v>
      </c>
      <c r="AC27" s="21" t="s">
        <v>389</v>
      </c>
      <c r="AD27" s="21" t="s">
        <v>82</v>
      </c>
      <c r="AE27" s="22"/>
    </row>
    <row r="28" ht="40.5" customHeight="1">
      <c r="A28" s="13">
        <v>26.0</v>
      </c>
      <c r="B28" s="14" t="s">
        <v>390</v>
      </c>
      <c r="C28" s="14">
        <f>IFERROR(__xludf.DUMMYFUNCTION("SPLIT(B28,""_"")"),2015.0)</f>
        <v>2015</v>
      </c>
      <c r="D28" s="14" t="str">
        <f>IFERROR(__xludf.DUMMYFUNCTION("""COMPUTED_VALUE"""),"Bonini")</f>
        <v>Bonini</v>
      </c>
      <c r="E28" s="14" t="str">
        <f>IFERROR(__xludf.DUMMYFUNCTION("""COMPUTED_VALUE"""),"BRM")</f>
        <v>BRM</v>
      </c>
      <c r="F28" s="14" t="s">
        <v>391</v>
      </c>
      <c r="G28" s="14" t="s">
        <v>377</v>
      </c>
      <c r="H28" s="14" t="s">
        <v>392</v>
      </c>
      <c r="I28" s="13">
        <v>319.0</v>
      </c>
      <c r="J28" s="26" t="s">
        <v>393</v>
      </c>
      <c r="K28" s="13">
        <v>39.0</v>
      </c>
      <c r="L28" s="14" t="s">
        <v>36</v>
      </c>
      <c r="M28" s="14" t="s">
        <v>394</v>
      </c>
      <c r="N28" s="14" t="s">
        <v>38</v>
      </c>
      <c r="O28" s="14" t="s">
        <v>395</v>
      </c>
      <c r="P28" s="14" t="s">
        <v>396</v>
      </c>
      <c r="Q28" s="14" t="s">
        <v>40</v>
      </c>
      <c r="R28" s="14" t="s">
        <v>43</v>
      </c>
      <c r="S28" s="14" t="s">
        <v>43</v>
      </c>
      <c r="T28" s="18" t="s">
        <v>397</v>
      </c>
      <c r="U28" s="18" t="s">
        <v>398</v>
      </c>
      <c r="V28" s="18" t="s">
        <v>399</v>
      </c>
      <c r="W28" s="18" t="s">
        <v>400</v>
      </c>
      <c r="X28" s="18" t="s">
        <v>401</v>
      </c>
      <c r="Y28" s="18" t="s">
        <v>402</v>
      </c>
      <c r="Z28" s="18" t="s">
        <v>50</v>
      </c>
      <c r="AA28" s="47" t="s">
        <v>403</v>
      </c>
      <c r="AB28" s="20"/>
      <c r="AC28" s="20"/>
      <c r="AD28" s="21" t="s">
        <v>82</v>
      </c>
      <c r="AE28" s="20"/>
    </row>
    <row r="29" ht="40.5" customHeight="1">
      <c r="A29" s="13">
        <v>27.0</v>
      </c>
      <c r="B29" s="14" t="s">
        <v>404</v>
      </c>
      <c r="C29" s="14">
        <f>IFERROR(__xludf.DUMMYFUNCTION("SPLIT(B29,""_"")"),2022.0)</f>
        <v>2022</v>
      </c>
      <c r="D29" s="14" t="str">
        <f>IFERROR(__xludf.DUMMYFUNCTION("""COMPUTED_VALUE"""),"Bonin")</f>
        <v>Bonin</v>
      </c>
      <c r="E29" s="14" t="str">
        <f>IFERROR(__xludf.DUMMYFUNCTION("""COMPUTED_VALUE"""),"BRM")</f>
        <v>BRM</v>
      </c>
      <c r="F29" s="14" t="s">
        <v>405</v>
      </c>
      <c r="G29" s="14" t="s">
        <v>377</v>
      </c>
      <c r="H29" s="48" t="s">
        <v>270</v>
      </c>
      <c r="I29" s="13">
        <v>506.0</v>
      </c>
      <c r="J29" s="26" t="s">
        <v>406</v>
      </c>
      <c r="K29" s="13" t="s">
        <v>407</v>
      </c>
      <c r="L29" s="14" t="s">
        <v>36</v>
      </c>
      <c r="M29" s="14" t="s">
        <v>408</v>
      </c>
      <c r="N29" s="14" t="s">
        <v>38</v>
      </c>
      <c r="O29" s="14" t="s">
        <v>409</v>
      </c>
      <c r="P29" s="14" t="s">
        <v>410</v>
      </c>
      <c r="Q29" s="14" t="s">
        <v>411</v>
      </c>
      <c r="R29" s="14" t="s">
        <v>131</v>
      </c>
      <c r="S29" s="14" t="s">
        <v>131</v>
      </c>
      <c r="T29" s="18" t="s">
        <v>412</v>
      </c>
      <c r="U29" s="18" t="s">
        <v>413</v>
      </c>
      <c r="V29" s="18" t="s">
        <v>414</v>
      </c>
      <c r="W29" s="18" t="s">
        <v>415</v>
      </c>
      <c r="X29" s="18" t="s">
        <v>416</v>
      </c>
      <c r="Y29" s="18" t="s">
        <v>417</v>
      </c>
      <c r="Z29" s="18" t="s">
        <v>50</v>
      </c>
      <c r="AA29" s="45" t="s">
        <v>418</v>
      </c>
      <c r="AB29" s="20"/>
      <c r="AC29" s="20"/>
      <c r="AD29" s="21" t="s">
        <v>82</v>
      </c>
      <c r="AE29" s="20"/>
    </row>
    <row r="30" ht="40.5" customHeight="1">
      <c r="A30" s="13">
        <v>28.0</v>
      </c>
      <c r="B30" s="14" t="s">
        <v>419</v>
      </c>
      <c r="C30" s="14" t="str">
        <f>IFERROR(__xludf.DUMMYFUNCTION("SPLIT(B30,""_"")"),"2022-Ballot")</f>
        <v>2022-Ballot</v>
      </c>
      <c r="D30" s="14" t="str">
        <f>IFERROR(__xludf.DUMMYFUNCTION("""COMPUTED_VALUE"""),"BRM")</f>
        <v>BRM</v>
      </c>
      <c r="E30" s="14"/>
      <c r="F30" s="14" t="s">
        <v>420</v>
      </c>
      <c r="G30" s="14" t="s">
        <v>377</v>
      </c>
      <c r="H30" s="14" t="s">
        <v>421</v>
      </c>
      <c r="I30" s="13">
        <v>1286.0</v>
      </c>
      <c r="J30" s="26" t="s">
        <v>422</v>
      </c>
      <c r="K30" s="13">
        <v>1238.0</v>
      </c>
      <c r="L30" s="14" t="s">
        <v>423</v>
      </c>
      <c r="M30" s="14" t="s">
        <v>424</v>
      </c>
      <c r="N30" s="14" t="s">
        <v>58</v>
      </c>
      <c r="O30" s="14" t="s">
        <v>425</v>
      </c>
      <c r="P30" s="14" t="s">
        <v>426</v>
      </c>
      <c r="Q30" s="25" t="s">
        <v>427</v>
      </c>
      <c r="R30" s="14" t="s">
        <v>43</v>
      </c>
      <c r="S30" s="14" t="s">
        <v>43</v>
      </c>
      <c r="T30" s="18" t="s">
        <v>40</v>
      </c>
      <c r="U30" s="18" t="s">
        <v>428</v>
      </c>
      <c r="V30" s="18" t="s">
        <v>429</v>
      </c>
      <c r="W30" s="18" t="s">
        <v>430</v>
      </c>
      <c r="X30" s="18" t="s">
        <v>431</v>
      </c>
      <c r="Y30" s="18" t="s">
        <v>432</v>
      </c>
      <c r="Z30" s="45" t="s">
        <v>433</v>
      </c>
      <c r="AA30" s="45" t="s">
        <v>433</v>
      </c>
      <c r="AB30" s="20"/>
      <c r="AC30" s="20"/>
      <c r="AD30" s="21" t="s">
        <v>434</v>
      </c>
      <c r="AE30" s="22"/>
    </row>
    <row r="31" ht="40.5" customHeight="1">
      <c r="A31" s="13">
        <v>29.0</v>
      </c>
      <c r="B31" s="14" t="s">
        <v>435</v>
      </c>
      <c r="C31" s="14">
        <f>IFERROR(__xludf.DUMMYFUNCTION("SPLIT(B31,""_"")"),2008.0)</f>
        <v>2008</v>
      </c>
      <c r="D31" s="14" t="str">
        <f>IFERROR(__xludf.DUMMYFUNCTION("""COMPUTED_VALUE"""),"Ferrand")</f>
        <v>Ferrand</v>
      </c>
      <c r="E31" s="14" t="str">
        <f>IFERROR(__xludf.DUMMYFUNCTION("""COMPUTED_VALUE"""),"BRM")</f>
        <v>BRM</v>
      </c>
      <c r="F31" s="14" t="s">
        <v>436</v>
      </c>
      <c r="G31" s="14" t="s">
        <v>377</v>
      </c>
      <c r="H31" s="14" t="s">
        <v>437</v>
      </c>
      <c r="I31" s="13">
        <v>1493.0</v>
      </c>
      <c r="J31" s="26" t="s">
        <v>438</v>
      </c>
      <c r="K31" s="13">
        <v>28.0</v>
      </c>
      <c r="L31" s="14" t="s">
        <v>36</v>
      </c>
      <c r="M31" s="14">
        <v>28.0</v>
      </c>
      <c r="N31" s="14" t="s">
        <v>58</v>
      </c>
      <c r="O31" s="14" t="s">
        <v>439</v>
      </c>
      <c r="P31" s="14" t="s">
        <v>440</v>
      </c>
      <c r="Q31" s="33" t="s">
        <v>441</v>
      </c>
      <c r="R31" s="14" t="s">
        <v>43</v>
      </c>
      <c r="S31" s="14" t="s">
        <v>43</v>
      </c>
      <c r="T31" s="18" t="s">
        <v>442</v>
      </c>
      <c r="U31" s="18" t="s">
        <v>443</v>
      </c>
      <c r="V31" s="18" t="s">
        <v>444</v>
      </c>
      <c r="W31" s="18" t="s">
        <v>445</v>
      </c>
      <c r="X31" s="18" t="s">
        <v>446</v>
      </c>
      <c r="Y31" s="18" t="s">
        <v>447</v>
      </c>
      <c r="Z31" s="18" t="s">
        <v>50</v>
      </c>
      <c r="AA31" s="47" t="s">
        <v>448</v>
      </c>
      <c r="AB31" s="20"/>
      <c r="AC31" s="20"/>
      <c r="AD31" s="21" t="s">
        <v>82</v>
      </c>
      <c r="AE31" s="20"/>
    </row>
    <row r="32" ht="40.5" customHeight="1">
      <c r="A32" s="13">
        <v>30.0</v>
      </c>
      <c r="B32" s="14" t="s">
        <v>449</v>
      </c>
      <c r="C32" s="14">
        <f>IFERROR(__xludf.DUMMYFUNCTION("SPLIT(B32,""_"")"),2019.0)</f>
        <v>2019</v>
      </c>
      <c r="D32" s="14" t="str">
        <f>IFERROR(__xludf.DUMMYFUNCTION("""COMPUTED_VALUE"""),"Chedid")</f>
        <v>Chedid</v>
      </c>
      <c r="E32" s="14" t="str">
        <f>IFERROR(__xludf.DUMMYFUNCTION("""COMPUTED_VALUE"""),"BRM")</f>
        <v>BRM</v>
      </c>
      <c r="F32" s="14" t="s">
        <v>450</v>
      </c>
      <c r="G32" s="14" t="s">
        <v>377</v>
      </c>
      <c r="H32" s="14" t="s">
        <v>179</v>
      </c>
      <c r="I32" s="13">
        <v>3596.0</v>
      </c>
      <c r="J32" s="26" t="s">
        <v>451</v>
      </c>
      <c r="K32" s="13">
        <v>313.0</v>
      </c>
      <c r="L32" s="14" t="s">
        <v>36</v>
      </c>
      <c r="M32" s="14" t="s">
        <v>452</v>
      </c>
      <c r="N32" s="14" t="s">
        <v>236</v>
      </c>
      <c r="O32" s="14" t="s">
        <v>453</v>
      </c>
      <c r="P32" s="14" t="s">
        <v>454</v>
      </c>
      <c r="Q32" s="14" t="s">
        <v>40</v>
      </c>
      <c r="R32" s="14" t="s">
        <v>42</v>
      </c>
      <c r="S32" s="14" t="s">
        <v>42</v>
      </c>
      <c r="T32" s="18" t="s">
        <v>455</v>
      </c>
      <c r="U32" s="18" t="s">
        <v>456</v>
      </c>
      <c r="V32" s="18" t="s">
        <v>457</v>
      </c>
      <c r="W32" s="18" t="s">
        <v>458</v>
      </c>
      <c r="X32" s="18" t="s">
        <v>459</v>
      </c>
      <c r="Y32" s="18" t="s">
        <v>460</v>
      </c>
      <c r="Z32" s="18" t="s">
        <v>50</v>
      </c>
      <c r="AA32" s="45" t="s">
        <v>461</v>
      </c>
      <c r="AB32" s="20"/>
      <c r="AC32" s="20"/>
      <c r="AD32" s="21" t="s">
        <v>373</v>
      </c>
      <c r="AE32" s="22"/>
    </row>
    <row r="33" ht="40.5" customHeight="1">
      <c r="A33" s="13">
        <v>31.0</v>
      </c>
      <c r="B33" s="14" t="s">
        <v>462</v>
      </c>
      <c r="C33" s="14">
        <f>IFERROR(__xludf.DUMMYFUNCTION("SPLIT(B33,""_"")"),2009.0)</f>
        <v>2009</v>
      </c>
      <c r="D33" s="14" t="str">
        <f>IFERROR(__xludf.DUMMYFUNCTION("""COMPUTED_VALUE"""),"Desrochers")</f>
        <v>Desrochers</v>
      </c>
      <c r="E33" s="14" t="str">
        <f>IFERROR(__xludf.DUMMYFUNCTION("""COMPUTED_VALUE"""),"BRM")</f>
        <v>BRM</v>
      </c>
      <c r="F33" s="14" t="s">
        <v>463</v>
      </c>
      <c r="G33" s="14" t="s">
        <v>377</v>
      </c>
      <c r="H33" s="14" t="s">
        <v>179</v>
      </c>
      <c r="I33" s="13">
        <v>3600.0</v>
      </c>
      <c r="J33" s="26" t="s">
        <v>464</v>
      </c>
      <c r="K33" s="13">
        <v>72.0</v>
      </c>
      <c r="L33" s="14" t="s">
        <v>36</v>
      </c>
      <c r="M33" s="14">
        <v>56.0</v>
      </c>
      <c r="N33" s="14" t="s">
        <v>58</v>
      </c>
      <c r="O33" s="14" t="s">
        <v>465</v>
      </c>
      <c r="P33" s="14" t="s">
        <v>466</v>
      </c>
      <c r="Q33" s="14" t="s">
        <v>467</v>
      </c>
      <c r="R33" s="14" t="s">
        <v>43</v>
      </c>
      <c r="S33" s="14" t="s">
        <v>43</v>
      </c>
      <c r="T33" s="14" t="s">
        <v>468</v>
      </c>
      <c r="U33" s="14" t="s">
        <v>469</v>
      </c>
      <c r="V33" s="14" t="s">
        <v>470</v>
      </c>
      <c r="W33" s="14" t="s">
        <v>471</v>
      </c>
      <c r="X33" s="14" t="s">
        <v>472</v>
      </c>
      <c r="Y33" s="18" t="s">
        <v>473</v>
      </c>
      <c r="Z33" s="18" t="s">
        <v>50</v>
      </c>
      <c r="AA33" s="47" t="s">
        <v>474</v>
      </c>
      <c r="AB33" s="20"/>
      <c r="AC33" s="20"/>
      <c r="AD33" s="21" t="s">
        <v>82</v>
      </c>
      <c r="AE33" s="20"/>
    </row>
    <row r="34" ht="40.5" customHeight="1">
      <c r="A34" s="13">
        <v>32.0</v>
      </c>
      <c r="B34" s="14" t="s">
        <v>475</v>
      </c>
      <c r="C34" s="14">
        <f>IFERROR(__xludf.DUMMYFUNCTION("SPLIT(B34,""_"")"),2011.0)</f>
        <v>2011</v>
      </c>
      <c r="D34" s="14" t="str">
        <f>IFERROR(__xludf.DUMMYFUNCTION("""COMPUTED_VALUE"""),"Schröder")</f>
        <v>Schröder</v>
      </c>
      <c r="E34" s="14" t="str">
        <f>IFERROR(__xludf.DUMMYFUNCTION("""COMPUTED_VALUE"""),"BRM")</f>
        <v>BRM</v>
      </c>
      <c r="F34" s="14" t="s">
        <v>476</v>
      </c>
      <c r="G34" s="14" t="s">
        <v>477</v>
      </c>
      <c r="H34" s="14" t="s">
        <v>179</v>
      </c>
      <c r="I34" s="13">
        <v>824.0</v>
      </c>
      <c r="J34" s="23" t="s">
        <v>478</v>
      </c>
      <c r="K34" s="13">
        <v>60.0</v>
      </c>
      <c r="L34" s="58" t="s">
        <v>40</v>
      </c>
      <c r="M34" s="14">
        <v>20.0</v>
      </c>
      <c r="N34" s="14" t="s">
        <v>38</v>
      </c>
      <c r="O34" s="14" t="s">
        <v>479</v>
      </c>
      <c r="P34" s="14" t="s">
        <v>480</v>
      </c>
      <c r="Q34" s="14" t="s">
        <v>481</v>
      </c>
      <c r="R34" s="14" t="s">
        <v>42</v>
      </c>
      <c r="S34" s="14" t="s">
        <v>42</v>
      </c>
      <c r="T34" s="14" t="s">
        <v>482</v>
      </c>
      <c r="U34" s="14" t="s">
        <v>483</v>
      </c>
      <c r="V34" s="14" t="s">
        <v>484</v>
      </c>
      <c r="W34" s="14" t="s">
        <v>485</v>
      </c>
      <c r="X34" s="14" t="s">
        <v>486</v>
      </c>
      <c r="Y34" s="14" t="s">
        <v>487</v>
      </c>
      <c r="Z34" s="18" t="s">
        <v>50</v>
      </c>
      <c r="AA34" s="33" t="s">
        <v>488</v>
      </c>
      <c r="AB34" s="19"/>
      <c r="AC34" s="20"/>
      <c r="AD34" s="21" t="s">
        <v>82</v>
      </c>
      <c r="AE34" s="20"/>
      <c r="AF34" s="44"/>
      <c r="AG34" s="44"/>
      <c r="AH34" s="44"/>
      <c r="AI34" s="44"/>
      <c r="AJ34" s="44"/>
      <c r="AK34" s="44"/>
      <c r="AL34" s="44"/>
      <c r="AM34" s="44"/>
      <c r="AN34" s="44"/>
      <c r="AO34" s="44"/>
      <c r="AP34" s="44"/>
      <c r="AQ34" s="44"/>
      <c r="AR34" s="44"/>
    </row>
    <row r="35" ht="40.5" customHeight="1">
      <c r="A35" s="13">
        <v>33.0</v>
      </c>
      <c r="B35" s="14" t="s">
        <v>489</v>
      </c>
      <c r="C35" s="14">
        <f>IFERROR(__xludf.DUMMYFUNCTION("SPLIT(B35,""_"")"),2016.0)</f>
        <v>2016</v>
      </c>
      <c r="D35" s="14" t="str">
        <f>IFERROR(__xludf.DUMMYFUNCTION("""COMPUTED_VALUE"""),"Sianipar")</f>
        <v>Sianipar</v>
      </c>
      <c r="E35" s="14" t="str">
        <f>IFERROR(__xludf.DUMMYFUNCTION("""COMPUTED_VALUE"""),"FrontPsychol")</f>
        <v>FrontPsychol</v>
      </c>
      <c r="F35" s="14" t="s">
        <v>490</v>
      </c>
      <c r="G35" s="14" t="s">
        <v>491</v>
      </c>
      <c r="H35" s="14" t="s">
        <v>68</v>
      </c>
      <c r="I35" s="13">
        <v>1490.0</v>
      </c>
      <c r="J35" s="26" t="s">
        <v>492</v>
      </c>
      <c r="K35" s="13">
        <v>374.0</v>
      </c>
      <c r="L35" s="14" t="s">
        <v>36</v>
      </c>
      <c r="M35" s="14" t="s">
        <v>493</v>
      </c>
      <c r="N35" s="14" t="s">
        <v>70</v>
      </c>
      <c r="O35" s="14" t="s">
        <v>494</v>
      </c>
      <c r="P35" s="14" t="s">
        <v>495</v>
      </c>
      <c r="Q35" s="14" t="s">
        <v>467</v>
      </c>
      <c r="R35" s="14" t="s">
        <v>43</v>
      </c>
      <c r="S35" s="14" t="s">
        <v>43</v>
      </c>
      <c r="T35" s="14" t="s">
        <v>40</v>
      </c>
      <c r="U35" s="14" t="s">
        <v>496</v>
      </c>
      <c r="V35" s="14" t="s">
        <v>497</v>
      </c>
      <c r="W35" s="14" t="s">
        <v>498</v>
      </c>
      <c r="X35" s="14" t="s">
        <v>499</v>
      </c>
      <c r="Y35" s="14" t="s">
        <v>500</v>
      </c>
      <c r="Z35" s="18" t="s">
        <v>50</v>
      </c>
      <c r="AA35" s="25" t="s">
        <v>501</v>
      </c>
      <c r="AB35" s="19"/>
      <c r="AC35" s="20"/>
      <c r="AD35" s="21" t="s">
        <v>502</v>
      </c>
      <c r="AE35" s="20"/>
    </row>
    <row r="36" ht="40.5" customHeight="1">
      <c r="A36" s="13">
        <v>34.0</v>
      </c>
      <c r="B36" s="14" t="s">
        <v>503</v>
      </c>
      <c r="C36" s="14">
        <f>IFERROR(__xludf.DUMMYFUNCTION("SPLIT(B36,""_"")"),2021.0)</f>
        <v>2021</v>
      </c>
      <c r="D36" s="14" t="str">
        <f>IFERROR(__xludf.DUMMYFUNCTION("""COMPUTED_VALUE"""),"Borelli")</f>
        <v>Borelli</v>
      </c>
      <c r="E36" s="14" t="str">
        <f>IFERROR(__xludf.DUMMYFUNCTION("""COMPUTED_VALUE"""),"PLOSONE")</f>
        <v>PLOSONE</v>
      </c>
      <c r="F36" s="14" t="s">
        <v>504</v>
      </c>
      <c r="G36" s="14" t="s">
        <v>505</v>
      </c>
      <c r="H36" s="14" t="s">
        <v>506</v>
      </c>
      <c r="I36" s="13">
        <v>94.0</v>
      </c>
      <c r="J36" s="26" t="s">
        <v>507</v>
      </c>
      <c r="K36" s="13">
        <v>297.0</v>
      </c>
      <c r="L36" s="14" t="s">
        <v>508</v>
      </c>
      <c r="M36" s="14">
        <v>297.0</v>
      </c>
      <c r="N36" s="14" t="s">
        <v>58</v>
      </c>
      <c r="O36" s="14" t="s">
        <v>509</v>
      </c>
      <c r="P36" s="14" t="s">
        <v>510</v>
      </c>
      <c r="Q36" s="14" t="s">
        <v>40</v>
      </c>
      <c r="R36" s="14" t="s">
        <v>42</v>
      </c>
      <c r="S36" s="14" t="s">
        <v>43</v>
      </c>
      <c r="T36" s="18" t="s">
        <v>511</v>
      </c>
      <c r="U36" s="18" t="s">
        <v>40</v>
      </c>
      <c r="V36" s="18" t="s">
        <v>40</v>
      </c>
      <c r="W36" s="18" t="s">
        <v>512</v>
      </c>
      <c r="X36" s="18" t="s">
        <v>513</v>
      </c>
      <c r="Y36" s="18" t="s">
        <v>514</v>
      </c>
      <c r="Z36" s="18" t="s">
        <v>50</v>
      </c>
      <c r="AA36" s="18" t="s">
        <v>40</v>
      </c>
      <c r="AB36" s="18" t="s">
        <v>515</v>
      </c>
      <c r="AC36" s="48" t="s">
        <v>516</v>
      </c>
      <c r="AD36" s="21" t="s">
        <v>82</v>
      </c>
      <c r="AE36" s="55" t="s">
        <v>517</v>
      </c>
    </row>
    <row r="37" ht="40.5" customHeight="1">
      <c r="A37" s="13">
        <v>35.0</v>
      </c>
      <c r="B37" s="14" t="s">
        <v>518</v>
      </c>
      <c r="C37" s="14">
        <f>IFERROR(__xludf.DUMMYFUNCTION("SPLIT(B37,""_"")"),2013.0)</f>
        <v>2013</v>
      </c>
      <c r="D37" s="14" t="str">
        <f>IFERROR(__xludf.DUMMYFUNCTION("""COMPUTED_VALUE"""),"Montefinese")</f>
        <v>Montefinese</v>
      </c>
      <c r="E37" s="14" t="str">
        <f>IFERROR(__xludf.DUMMYFUNCTION("""COMPUTED_VALUE"""),"BRM")</f>
        <v>BRM</v>
      </c>
      <c r="F37" s="14" t="s">
        <v>519</v>
      </c>
      <c r="G37" s="14" t="s">
        <v>505</v>
      </c>
      <c r="H37" s="14" t="s">
        <v>179</v>
      </c>
      <c r="I37" s="13">
        <v>120.0</v>
      </c>
      <c r="J37" s="26" t="s">
        <v>520</v>
      </c>
      <c r="K37" s="26">
        <v>60.0</v>
      </c>
      <c r="L37" s="14" t="s">
        <v>521</v>
      </c>
      <c r="M37" s="14">
        <v>30.0</v>
      </c>
      <c r="N37" s="14" t="s">
        <v>522</v>
      </c>
      <c r="O37" s="14" t="s">
        <v>523</v>
      </c>
      <c r="P37" s="14" t="s">
        <v>524</v>
      </c>
      <c r="Q37" s="14" t="s">
        <v>40</v>
      </c>
      <c r="R37" s="14" t="s">
        <v>42</v>
      </c>
      <c r="S37" s="14" t="s">
        <v>42</v>
      </c>
      <c r="T37" s="18" t="s">
        <v>525</v>
      </c>
      <c r="U37" s="18" t="s">
        <v>526</v>
      </c>
      <c r="V37" s="18" t="s">
        <v>527</v>
      </c>
      <c r="W37" s="18" t="s">
        <v>528</v>
      </c>
      <c r="X37" s="18" t="s">
        <v>529</v>
      </c>
      <c r="Y37" s="18" t="s">
        <v>530</v>
      </c>
      <c r="Z37" s="18" t="s">
        <v>50</v>
      </c>
      <c r="AA37" s="47" t="s">
        <v>531</v>
      </c>
      <c r="AB37" s="20"/>
      <c r="AC37" s="20"/>
      <c r="AD37" s="21" t="s">
        <v>82</v>
      </c>
      <c r="AE37" s="20"/>
    </row>
    <row r="38" ht="40.5" customHeight="1">
      <c r="A38" s="13">
        <v>36.0</v>
      </c>
      <c r="B38" s="14" t="s">
        <v>532</v>
      </c>
      <c r="C38" s="14">
        <f>IFERROR(__xludf.DUMMYFUNCTION("SPLIT(B38,""_"")"),2024.0)</f>
        <v>2024</v>
      </c>
      <c r="D38" s="14" t="str">
        <f>IFERROR(__xludf.DUMMYFUNCTION("""COMPUTED_VALUE"""),"Falcinellli")</f>
        <v>Falcinellli</v>
      </c>
      <c r="E38" s="14" t="str">
        <f>IFERROR(__xludf.DUMMYFUNCTION("""COMPUTED_VALUE"""),"Collabra")</f>
        <v>Collabra</v>
      </c>
      <c r="F38" s="14" t="s">
        <v>533</v>
      </c>
      <c r="G38" s="14" t="s">
        <v>505</v>
      </c>
      <c r="H38" s="14" t="s">
        <v>179</v>
      </c>
      <c r="I38" s="13">
        <v>200.0</v>
      </c>
      <c r="J38" s="26" t="s">
        <v>534</v>
      </c>
      <c r="K38" s="26">
        <v>340.0</v>
      </c>
      <c r="L38" s="26" t="s">
        <v>535</v>
      </c>
      <c r="M38" s="14">
        <v>20.0</v>
      </c>
      <c r="N38" s="14" t="s">
        <v>58</v>
      </c>
      <c r="O38" s="14" t="s">
        <v>536</v>
      </c>
      <c r="P38" s="14" t="s">
        <v>537</v>
      </c>
      <c r="Q38" s="14" t="s">
        <v>40</v>
      </c>
      <c r="R38" s="14" t="s">
        <v>42</v>
      </c>
      <c r="S38" s="14" t="s">
        <v>43</v>
      </c>
      <c r="T38" s="18" t="s">
        <v>538</v>
      </c>
      <c r="U38" s="18" t="s">
        <v>539</v>
      </c>
      <c r="V38" s="18" t="s">
        <v>540</v>
      </c>
      <c r="W38" s="18" t="s">
        <v>541</v>
      </c>
      <c r="X38" s="18" t="s">
        <v>542</v>
      </c>
      <c r="Y38" s="18" t="s">
        <v>543</v>
      </c>
      <c r="Z38" s="45" t="s">
        <v>544</v>
      </c>
      <c r="AA38" s="45" t="s">
        <v>545</v>
      </c>
      <c r="AB38" s="20"/>
      <c r="AC38" s="20"/>
      <c r="AD38" s="21" t="s">
        <v>546</v>
      </c>
      <c r="AE38" s="22"/>
    </row>
    <row r="39" ht="40.5" customHeight="1">
      <c r="A39" s="13">
        <v>37.0</v>
      </c>
      <c r="B39" s="14" t="s">
        <v>547</v>
      </c>
      <c r="C39" s="14">
        <f>IFERROR(__xludf.DUMMYFUNCTION("SPLIT(B39,""_"")"),2010.0)</f>
        <v>2010</v>
      </c>
      <c r="D39" s="14" t="str">
        <f>IFERROR(__xludf.DUMMYFUNCTION("""COMPUTED_VALUE"""),"DellaRosa")</f>
        <v>DellaRosa</v>
      </c>
      <c r="E39" s="14" t="str">
        <f>IFERROR(__xludf.DUMMYFUNCTION("""COMPUTED_VALUE"""),"BRM")</f>
        <v>BRM</v>
      </c>
      <c r="F39" s="14" t="s">
        <v>548</v>
      </c>
      <c r="G39" s="14" t="s">
        <v>505</v>
      </c>
      <c r="H39" s="14" t="s">
        <v>55</v>
      </c>
      <c r="I39" s="13">
        <v>417.0</v>
      </c>
      <c r="J39" s="26" t="s">
        <v>549</v>
      </c>
      <c r="K39" s="13">
        <v>250.0</v>
      </c>
      <c r="L39" s="14" t="s">
        <v>36</v>
      </c>
      <c r="M39" s="14" t="s">
        <v>550</v>
      </c>
      <c r="N39" s="14" t="s">
        <v>58</v>
      </c>
      <c r="O39" s="14" t="s">
        <v>551</v>
      </c>
      <c r="P39" s="14" t="s">
        <v>552</v>
      </c>
      <c r="Q39" s="14" t="s">
        <v>40</v>
      </c>
      <c r="R39" s="14" t="s">
        <v>42</v>
      </c>
      <c r="S39" s="14" t="s">
        <v>42</v>
      </c>
      <c r="T39" s="18" t="s">
        <v>553</v>
      </c>
      <c r="U39" s="18" t="s">
        <v>554</v>
      </c>
      <c r="V39" s="18" t="s">
        <v>555</v>
      </c>
      <c r="W39" s="18" t="s">
        <v>556</v>
      </c>
      <c r="X39" s="18" t="s">
        <v>557</v>
      </c>
      <c r="Y39" s="18" t="s">
        <v>558</v>
      </c>
      <c r="Z39" s="18" t="s">
        <v>50</v>
      </c>
      <c r="AA39" s="47" t="s">
        <v>559</v>
      </c>
      <c r="AB39" s="20"/>
      <c r="AC39" s="20"/>
      <c r="AD39" s="21" t="s">
        <v>560</v>
      </c>
      <c r="AE39" s="22"/>
    </row>
    <row r="40" ht="40.5" customHeight="1">
      <c r="A40" s="13">
        <v>38.0</v>
      </c>
      <c r="B40" s="14" t="s">
        <v>561</v>
      </c>
      <c r="C40" s="14">
        <f>IFERROR(__xludf.DUMMYFUNCTION("SPLIT(B40,""_"")"),2018.0)</f>
        <v>2018</v>
      </c>
      <c r="D40" s="14" t="str">
        <f>IFERROR(__xludf.DUMMYFUNCTION("""COMPUTED_VALUE"""),"Borelli")</f>
        <v>Borelli</v>
      </c>
      <c r="E40" s="14" t="str">
        <f>IFERROR(__xludf.DUMMYFUNCTION("""COMPUTED_VALUE"""),"PLOSONE")</f>
        <v>PLOSONE</v>
      </c>
      <c r="F40" s="14" t="s">
        <v>562</v>
      </c>
      <c r="G40" s="14" t="s">
        <v>505</v>
      </c>
      <c r="H40" s="14" t="s">
        <v>563</v>
      </c>
      <c r="I40" s="26">
        <v>512.0</v>
      </c>
      <c r="J40" s="26" t="s">
        <v>564</v>
      </c>
      <c r="K40" s="13">
        <v>1020.0</v>
      </c>
      <c r="L40" s="14" t="s">
        <v>565</v>
      </c>
      <c r="M40" s="14">
        <v>31.0</v>
      </c>
      <c r="N40" s="14" t="s">
        <v>58</v>
      </c>
      <c r="O40" s="14" t="s">
        <v>566</v>
      </c>
      <c r="P40" s="14" t="s">
        <v>567</v>
      </c>
      <c r="Q40" s="14" t="s">
        <v>40</v>
      </c>
      <c r="R40" s="14" t="s">
        <v>42</v>
      </c>
      <c r="S40" s="14" t="s">
        <v>43</v>
      </c>
      <c r="T40" s="18" t="s">
        <v>568</v>
      </c>
      <c r="U40" s="18" t="s">
        <v>569</v>
      </c>
      <c r="V40" s="18" t="s">
        <v>570</v>
      </c>
      <c r="W40" s="18" t="s">
        <v>571</v>
      </c>
      <c r="X40" s="18" t="s">
        <v>572</v>
      </c>
      <c r="Y40" s="18" t="s">
        <v>573</v>
      </c>
      <c r="Z40" s="18" t="s">
        <v>50</v>
      </c>
      <c r="AA40" s="47" t="s">
        <v>574</v>
      </c>
      <c r="AB40" s="20"/>
      <c r="AC40" s="20"/>
      <c r="AD40" s="21" t="s">
        <v>82</v>
      </c>
      <c r="AE40" s="20"/>
    </row>
    <row r="41" ht="40.5" customHeight="1">
      <c r="A41" s="13">
        <v>39.0</v>
      </c>
      <c r="B41" s="14" t="s">
        <v>575</v>
      </c>
      <c r="C41" s="14">
        <f>IFERROR(__xludf.DUMMYFUNCTION("SPLIT(B41,""_"")"),2019.0)</f>
        <v>2019</v>
      </c>
      <c r="D41" s="14" t="str">
        <f>IFERROR(__xludf.DUMMYFUNCTION("""COMPUTED_VALUE"""),"Morucci")</f>
        <v>Morucci</v>
      </c>
      <c r="E41" s="14" t="str">
        <f>IFERROR(__xludf.DUMMYFUNCTION("""COMPUTED_VALUE"""),"JCogn")</f>
        <v>JCogn</v>
      </c>
      <c r="F41" s="14" t="s">
        <v>576</v>
      </c>
      <c r="G41" s="14" t="s">
        <v>505</v>
      </c>
      <c r="H41" s="14" t="s">
        <v>577</v>
      </c>
      <c r="I41" s="13">
        <v>643.0</v>
      </c>
      <c r="J41" s="26" t="s">
        <v>578</v>
      </c>
      <c r="K41" s="13">
        <v>181.0</v>
      </c>
      <c r="L41" s="14" t="s">
        <v>579</v>
      </c>
      <c r="M41" s="14" t="s">
        <v>580</v>
      </c>
      <c r="N41" s="14" t="s">
        <v>58</v>
      </c>
      <c r="O41" s="14" t="s">
        <v>581</v>
      </c>
      <c r="P41" s="14" t="s">
        <v>582</v>
      </c>
      <c r="Q41" s="14" t="s">
        <v>583</v>
      </c>
      <c r="R41" s="14" t="s">
        <v>42</v>
      </c>
      <c r="S41" s="14" t="s">
        <v>43</v>
      </c>
      <c r="T41" s="18" t="s">
        <v>584</v>
      </c>
      <c r="U41" s="18" t="s">
        <v>585</v>
      </c>
      <c r="V41" s="18" t="s">
        <v>586</v>
      </c>
      <c r="W41" s="18" t="s">
        <v>587</v>
      </c>
      <c r="X41" s="18" t="s">
        <v>588</v>
      </c>
      <c r="Y41" s="18" t="s">
        <v>589</v>
      </c>
      <c r="Z41" s="54" t="s">
        <v>590</v>
      </c>
      <c r="AA41" s="45" t="s">
        <v>590</v>
      </c>
      <c r="AB41" s="20"/>
      <c r="AC41" s="20"/>
      <c r="AD41" s="21" t="s">
        <v>82</v>
      </c>
      <c r="AE41" s="20"/>
    </row>
    <row r="42" ht="40.5" customHeight="1">
      <c r="A42" s="13">
        <v>40.0</v>
      </c>
      <c r="B42" s="14" t="s">
        <v>591</v>
      </c>
      <c r="C42" s="14">
        <f>IFERROR(__xludf.DUMMYFUNCTION("SPLIT(B42,""_"")"),2014.0)</f>
        <v>2014</v>
      </c>
      <c r="D42" s="14" t="str">
        <f>IFERROR(__xludf.DUMMYFUNCTION("""COMPUTED_VALUE"""),"Montefinese")</f>
        <v>Montefinese</v>
      </c>
      <c r="E42" s="14" t="str">
        <f>IFERROR(__xludf.DUMMYFUNCTION("""COMPUTED_VALUE"""),"BRM")</f>
        <v>BRM</v>
      </c>
      <c r="F42" s="14" t="s">
        <v>592</v>
      </c>
      <c r="G42" s="14" t="s">
        <v>505</v>
      </c>
      <c r="H42" s="14" t="s">
        <v>593</v>
      </c>
      <c r="I42" s="13">
        <v>1121.0</v>
      </c>
      <c r="J42" s="26" t="s">
        <v>594</v>
      </c>
      <c r="K42" s="13">
        <v>400.0</v>
      </c>
      <c r="L42" s="14" t="s">
        <v>36</v>
      </c>
      <c r="M42" s="14">
        <v>20.0</v>
      </c>
      <c r="N42" s="14" t="s">
        <v>70</v>
      </c>
      <c r="O42" s="14" t="s">
        <v>595</v>
      </c>
      <c r="P42" s="14" t="s">
        <v>596</v>
      </c>
      <c r="Q42" s="14" t="s">
        <v>40</v>
      </c>
      <c r="R42" s="14" t="s">
        <v>42</v>
      </c>
      <c r="S42" s="14" t="s">
        <v>43</v>
      </c>
      <c r="T42" s="18" t="s">
        <v>597</v>
      </c>
      <c r="U42" s="18" t="s">
        <v>598</v>
      </c>
      <c r="V42" s="18" t="s">
        <v>599</v>
      </c>
      <c r="W42" s="14" t="s">
        <v>600</v>
      </c>
      <c r="X42" s="14" t="s">
        <v>601</v>
      </c>
      <c r="Y42" s="14" t="s">
        <v>602</v>
      </c>
      <c r="Z42" s="18" t="s">
        <v>50</v>
      </c>
      <c r="AA42" s="45" t="s">
        <v>603</v>
      </c>
      <c r="AB42" s="20"/>
      <c r="AC42" s="20"/>
      <c r="AD42" s="21" t="s">
        <v>82</v>
      </c>
      <c r="AE42" s="20"/>
    </row>
    <row r="43" ht="40.5" customHeight="1">
      <c r="A43" s="13">
        <v>41.0</v>
      </c>
      <c r="B43" s="14" t="s">
        <v>604</v>
      </c>
      <c r="C43" s="14">
        <f>IFERROR(__xludf.DUMMYFUNCTION("SPLIT(B43,""_"")"),2025.0)</f>
        <v>2025</v>
      </c>
      <c r="D43" s="14" t="str">
        <f>IFERROR(__xludf.DUMMYFUNCTION("""COMPUTED_VALUE"""),"Borsa")</f>
        <v>Borsa</v>
      </c>
      <c r="E43" s="14" t="str">
        <f>IFERROR(__xludf.DUMMYFUNCTION("""COMPUTED_VALUE"""),"BrainSci")</f>
        <v>BrainSci</v>
      </c>
      <c r="F43" s="14" t="s">
        <v>605</v>
      </c>
      <c r="G43" s="14" t="s">
        <v>505</v>
      </c>
      <c r="H43" s="14" t="s">
        <v>179</v>
      </c>
      <c r="I43" s="26">
        <v>964.0</v>
      </c>
      <c r="J43" s="26" t="s">
        <v>606</v>
      </c>
      <c r="K43" s="26">
        <v>542.0</v>
      </c>
      <c r="L43" s="14" t="s">
        <v>607</v>
      </c>
      <c r="M43" s="14" t="s">
        <v>608</v>
      </c>
      <c r="N43" s="14" t="s">
        <v>58</v>
      </c>
      <c r="O43" s="14" t="s">
        <v>609</v>
      </c>
      <c r="P43" s="14" t="s">
        <v>610</v>
      </c>
      <c r="Q43" s="14" t="s">
        <v>611</v>
      </c>
      <c r="R43" s="14" t="s">
        <v>42</v>
      </c>
      <c r="S43" s="14" t="s">
        <v>42</v>
      </c>
      <c r="T43" s="18" t="s">
        <v>612</v>
      </c>
      <c r="U43" s="18" t="s">
        <v>613</v>
      </c>
      <c r="V43" s="18" t="s">
        <v>614</v>
      </c>
      <c r="W43" s="18" t="s">
        <v>615</v>
      </c>
      <c r="X43" s="18" t="s">
        <v>616</v>
      </c>
      <c r="Y43" s="18" t="s">
        <v>617</v>
      </c>
      <c r="Z43" s="18" t="s">
        <v>50</v>
      </c>
      <c r="AA43" s="45" t="s">
        <v>618</v>
      </c>
      <c r="AB43" s="20"/>
      <c r="AC43" s="20"/>
      <c r="AD43" s="21" t="s">
        <v>82</v>
      </c>
      <c r="AE43" s="20"/>
    </row>
    <row r="44" ht="40.5" customHeight="1">
      <c r="A44" s="13">
        <v>42.0</v>
      </c>
      <c r="B44" s="14" t="s">
        <v>619</v>
      </c>
      <c r="C44" s="14">
        <f>IFERROR(__xludf.DUMMYFUNCTION("SPLIT(B44,""_"")"),2007.0)</f>
        <v>2007</v>
      </c>
      <c r="D44" s="14" t="str">
        <f>IFERROR(__xludf.DUMMYFUNCTION("""COMPUTED_VALUE"""),"Amano")</f>
        <v>Amano</v>
      </c>
      <c r="E44" s="14" t="str">
        <f>IFERROR(__xludf.DUMMYFUNCTION("""COMPUTED_VALUE"""),"BRM")</f>
        <v>BRM</v>
      </c>
      <c r="F44" s="14" t="s">
        <v>620</v>
      </c>
      <c r="G44" s="14" t="s">
        <v>621</v>
      </c>
      <c r="H44" s="14" t="s">
        <v>55</v>
      </c>
      <c r="I44" s="26">
        <v>10515.0</v>
      </c>
      <c r="J44" s="26" t="s">
        <v>622</v>
      </c>
      <c r="K44" s="26">
        <v>40.0</v>
      </c>
      <c r="L44" s="26" t="s">
        <v>623</v>
      </c>
      <c r="M44" s="14" t="s">
        <v>624</v>
      </c>
      <c r="N44" s="14" t="s">
        <v>58</v>
      </c>
      <c r="O44" s="14" t="s">
        <v>625</v>
      </c>
      <c r="P44" s="14" t="s">
        <v>626</v>
      </c>
      <c r="Q44" s="14" t="s">
        <v>40</v>
      </c>
      <c r="R44" s="14" t="s">
        <v>42</v>
      </c>
      <c r="S44" s="14" t="s">
        <v>42</v>
      </c>
      <c r="T44" s="18" t="s">
        <v>627</v>
      </c>
      <c r="U44" s="18" t="s">
        <v>628</v>
      </c>
      <c r="V44" s="18" t="s">
        <v>629</v>
      </c>
      <c r="W44" s="18" t="s">
        <v>630</v>
      </c>
      <c r="X44" s="18" t="s">
        <v>631</v>
      </c>
      <c r="Y44" s="18" t="s">
        <v>40</v>
      </c>
      <c r="Z44" s="18" t="s">
        <v>632</v>
      </c>
      <c r="AA44" s="18" t="s">
        <v>632</v>
      </c>
      <c r="AB44" s="20"/>
      <c r="AC44" s="20"/>
      <c r="AD44" s="21" t="s">
        <v>82</v>
      </c>
      <c r="AE44" s="20"/>
    </row>
    <row r="45" ht="40.5" customHeight="1">
      <c r="A45" s="13">
        <v>43.0</v>
      </c>
      <c r="B45" s="14" t="s">
        <v>633</v>
      </c>
      <c r="C45" s="14">
        <f>IFERROR(__xludf.DUMMYFUNCTION("SPLIT(B45,""_"")"),2024.0)</f>
        <v>2024</v>
      </c>
      <c r="D45" s="14" t="str">
        <f>IFERROR(__xludf.DUMMYFUNCTION("""COMPUTED_VALUE"""),"Mahjoubnavaz")</f>
        <v>Mahjoubnavaz</v>
      </c>
      <c r="E45" s="14" t="str">
        <f>IFERROR(__xludf.DUMMYFUNCTION("""COMPUTED_VALUE"""),"JPsycholinguistRes")</f>
        <v>JPsycholinguistRes</v>
      </c>
      <c r="F45" s="14" t="s">
        <v>634</v>
      </c>
      <c r="G45" s="14" t="s">
        <v>635</v>
      </c>
      <c r="H45" s="14" t="s">
        <v>179</v>
      </c>
      <c r="I45" s="26">
        <v>718.0</v>
      </c>
      <c r="J45" s="23" t="s">
        <v>636</v>
      </c>
      <c r="K45" s="26">
        <v>463.0</v>
      </c>
      <c r="L45" s="14" t="s">
        <v>637</v>
      </c>
      <c r="M45" s="14" t="s">
        <v>638</v>
      </c>
      <c r="N45" s="14" t="s">
        <v>38</v>
      </c>
      <c r="O45" s="14" t="s">
        <v>40</v>
      </c>
      <c r="P45" s="14" t="s">
        <v>639</v>
      </c>
      <c r="Q45" s="14" t="s">
        <v>40</v>
      </c>
      <c r="R45" s="14" t="s">
        <v>42</v>
      </c>
      <c r="S45" s="14" t="s">
        <v>319</v>
      </c>
      <c r="T45" s="14" t="s">
        <v>640</v>
      </c>
      <c r="U45" s="14" t="s">
        <v>641</v>
      </c>
      <c r="V45" s="14" t="s">
        <v>642</v>
      </c>
      <c r="W45" s="14" t="s">
        <v>643</v>
      </c>
      <c r="X45" s="14" t="s">
        <v>644</v>
      </c>
      <c r="Y45" s="14" t="s">
        <v>645</v>
      </c>
      <c r="Z45" s="14" t="s">
        <v>50</v>
      </c>
      <c r="AA45" s="25" t="s">
        <v>646</v>
      </c>
      <c r="AB45" s="14" t="s">
        <v>647</v>
      </c>
      <c r="AC45" s="18" t="s">
        <v>648</v>
      </c>
      <c r="AD45" s="21" t="s">
        <v>82</v>
      </c>
      <c r="AE45" s="20"/>
      <c r="AF45" s="44"/>
      <c r="AG45" s="44"/>
      <c r="AH45" s="44"/>
      <c r="AI45" s="44"/>
      <c r="AJ45" s="44"/>
      <c r="AK45" s="44"/>
      <c r="AL45" s="44"/>
      <c r="AM45" s="44"/>
      <c r="AN45" s="44"/>
      <c r="AO45" s="44"/>
      <c r="AP45" s="44"/>
      <c r="AQ45" s="44"/>
      <c r="AR45" s="44"/>
    </row>
    <row r="46" ht="40.5" customHeight="1">
      <c r="A46" s="13">
        <v>44.0</v>
      </c>
      <c r="B46" s="14" t="s">
        <v>649</v>
      </c>
      <c r="C46" s="14">
        <f>IFERROR(__xludf.DUMMYFUNCTION("SPLIT(B46,""_"")"),2021.0)</f>
        <v>2021</v>
      </c>
      <c r="D46" s="14" t="str">
        <f>IFERROR(__xludf.DUMMYFUNCTION("""COMPUTED_VALUE"""),"de Lima")</f>
        <v>de Lima</v>
      </c>
      <c r="E46" s="14" t="str">
        <f>IFERROR(__xludf.DUMMYFUNCTION("""COMPUTED_VALUE"""),"SAGEOpen")</f>
        <v>SAGEOpen</v>
      </c>
      <c r="F46" s="14" t="s">
        <v>650</v>
      </c>
      <c r="G46" s="14" t="s">
        <v>651</v>
      </c>
      <c r="H46" s="14" t="s">
        <v>68</v>
      </c>
      <c r="I46" s="13">
        <v>80.0</v>
      </c>
      <c r="J46" s="23" t="s">
        <v>652</v>
      </c>
      <c r="K46" s="13">
        <v>18.0</v>
      </c>
      <c r="L46" s="14" t="s">
        <v>36</v>
      </c>
      <c r="M46" s="14" t="s">
        <v>40</v>
      </c>
      <c r="N46" s="14" t="s">
        <v>58</v>
      </c>
      <c r="O46" s="14" t="s">
        <v>653</v>
      </c>
      <c r="P46" s="14" t="s">
        <v>40</v>
      </c>
      <c r="Q46" s="14" t="s">
        <v>40</v>
      </c>
      <c r="R46" s="14" t="s">
        <v>42</v>
      </c>
      <c r="S46" s="14" t="s">
        <v>43</v>
      </c>
      <c r="T46" s="14" t="s">
        <v>654</v>
      </c>
      <c r="U46" s="14" t="s">
        <v>655</v>
      </c>
      <c r="V46" s="14" t="s">
        <v>656</v>
      </c>
      <c r="W46" s="14" t="s">
        <v>657</v>
      </c>
      <c r="X46" s="14" t="s">
        <v>658</v>
      </c>
      <c r="Y46" s="14" t="s">
        <v>659</v>
      </c>
      <c r="Z46" s="14" t="s">
        <v>50</v>
      </c>
      <c r="AA46" s="25" t="s">
        <v>660</v>
      </c>
      <c r="AB46" s="14" t="s">
        <v>647</v>
      </c>
      <c r="AC46" s="20"/>
      <c r="AD46" s="21" t="s">
        <v>82</v>
      </c>
      <c r="AE46" s="20"/>
    </row>
    <row r="47" ht="40.5" customHeight="1">
      <c r="A47" s="13">
        <v>45.0</v>
      </c>
      <c r="B47" s="14" t="s">
        <v>661</v>
      </c>
      <c r="C47" s="14">
        <f>IFERROR(__xludf.DUMMYFUNCTION("SPLIT(B47,""_"")"),2017.0)</f>
        <v>2017</v>
      </c>
      <c r="D47" s="14" t="str">
        <f>IFERROR(__xludf.DUMMYFUNCTION("""COMPUTED_VALUE"""),"Soares")</f>
        <v>Soares</v>
      </c>
      <c r="E47" s="14" t="str">
        <f>IFERROR(__xludf.DUMMYFUNCTION("""COMPUTED_VALUE"""),"BRM")</f>
        <v>BRM</v>
      </c>
      <c r="F47" s="14" t="s">
        <v>662</v>
      </c>
      <c r="G47" s="14" t="s">
        <v>651</v>
      </c>
      <c r="H47" s="14" t="s">
        <v>663</v>
      </c>
      <c r="I47" s="13">
        <v>3800.0</v>
      </c>
      <c r="J47" s="26" t="s">
        <v>664</v>
      </c>
      <c r="K47" s="13">
        <v>2357.0</v>
      </c>
      <c r="L47" s="14" t="s">
        <v>36</v>
      </c>
      <c r="M47" s="14" t="s">
        <v>665</v>
      </c>
      <c r="N47" s="14" t="s">
        <v>58</v>
      </c>
      <c r="O47" s="14" t="s">
        <v>666</v>
      </c>
      <c r="P47" s="14" t="s">
        <v>667</v>
      </c>
      <c r="Q47" s="14" t="s">
        <v>467</v>
      </c>
      <c r="R47" s="14" t="s">
        <v>43</v>
      </c>
      <c r="S47" s="14" t="s">
        <v>43</v>
      </c>
      <c r="T47" s="18" t="s">
        <v>668</v>
      </c>
      <c r="U47" s="18" t="s">
        <v>669</v>
      </c>
      <c r="V47" s="18" t="s">
        <v>670</v>
      </c>
      <c r="W47" s="18" t="s">
        <v>671</v>
      </c>
      <c r="X47" s="18" t="s">
        <v>672</v>
      </c>
      <c r="Y47" s="18" t="s">
        <v>673</v>
      </c>
      <c r="Z47" s="18" t="s">
        <v>50</v>
      </c>
      <c r="AA47" s="45" t="s">
        <v>674</v>
      </c>
      <c r="AB47" s="20"/>
      <c r="AC47" s="20"/>
      <c r="AD47" s="21" t="s">
        <v>546</v>
      </c>
      <c r="AE47" s="22"/>
    </row>
    <row r="48" ht="40.5" customHeight="1">
      <c r="A48" s="13">
        <v>46.0</v>
      </c>
      <c r="B48" s="14" t="s">
        <v>675</v>
      </c>
      <c r="C48" s="14">
        <f>IFERROR(__xludf.DUMMYFUNCTION("SPLIT(B48,""_"")"),2018.0)</f>
        <v>2018</v>
      </c>
      <c r="D48" s="14" t="str">
        <f>IFERROR(__xludf.DUMMYFUNCTION("""COMPUTED_VALUE"""),"Miklashevsky")</f>
        <v>Miklashevsky</v>
      </c>
      <c r="E48" s="14" t="str">
        <f>IFERROR(__xludf.DUMMYFUNCTION("""COMPUTED_VALUE"""),"JPsycholinguistRes")</f>
        <v>JPsycholinguistRes</v>
      </c>
      <c r="F48" s="14" t="s">
        <v>676</v>
      </c>
      <c r="G48" s="14" t="s">
        <v>677</v>
      </c>
      <c r="H48" s="14" t="s">
        <v>179</v>
      </c>
      <c r="I48" s="13">
        <v>506.0</v>
      </c>
      <c r="J48" s="26" t="s">
        <v>678</v>
      </c>
      <c r="K48" s="13">
        <v>558.0</v>
      </c>
      <c r="L48" s="14" t="s">
        <v>36</v>
      </c>
      <c r="M48" s="14" t="s">
        <v>679</v>
      </c>
      <c r="N48" s="14" t="s">
        <v>58</v>
      </c>
      <c r="O48" s="14" t="s">
        <v>680</v>
      </c>
      <c r="P48" s="14" t="s">
        <v>681</v>
      </c>
      <c r="Q48" s="14" t="s">
        <v>40</v>
      </c>
      <c r="R48" s="14" t="s">
        <v>43</v>
      </c>
      <c r="S48" s="14" t="s">
        <v>43</v>
      </c>
      <c r="T48" s="18" t="s">
        <v>682</v>
      </c>
      <c r="U48" s="18" t="s">
        <v>683</v>
      </c>
      <c r="V48" s="18" t="s">
        <v>684</v>
      </c>
      <c r="W48" s="18" t="s">
        <v>685</v>
      </c>
      <c r="X48" s="18" t="s">
        <v>686</v>
      </c>
      <c r="Y48" s="18" t="s">
        <v>687</v>
      </c>
      <c r="Z48" s="18" t="s">
        <v>50</v>
      </c>
      <c r="AA48" s="45" t="s">
        <v>688</v>
      </c>
      <c r="AB48" s="20"/>
      <c r="AC48" s="20"/>
      <c r="AD48" s="21" t="s">
        <v>82</v>
      </c>
      <c r="AE48" s="20"/>
    </row>
    <row r="49" ht="40.5" customHeight="1">
      <c r="A49" s="13">
        <v>47.0</v>
      </c>
      <c r="B49" s="14" t="s">
        <v>689</v>
      </c>
      <c r="C49" s="14">
        <f>IFERROR(__xludf.DUMMYFUNCTION("SPLIT(B49,""_"")"),2010.0)</f>
        <v>2010</v>
      </c>
      <c r="D49" s="14" t="str">
        <f>IFERROR(__xludf.DUMMYFUNCTION("""COMPUTED_VALUE"""),"Desrochers")</f>
        <v>Desrochers</v>
      </c>
      <c r="E49" s="14" t="str">
        <f>IFERROR(__xludf.DUMMYFUNCTION("""COMPUTED_VALUE"""),"BRM")</f>
        <v>BRM</v>
      </c>
      <c r="F49" s="14" t="s">
        <v>690</v>
      </c>
      <c r="G49" s="14" t="s">
        <v>691</v>
      </c>
      <c r="H49" s="14" t="s">
        <v>55</v>
      </c>
      <c r="I49" s="13">
        <v>330.0</v>
      </c>
      <c r="J49" s="26" t="s">
        <v>692</v>
      </c>
      <c r="K49" s="13">
        <v>102.0</v>
      </c>
      <c r="L49" s="14" t="s">
        <v>36</v>
      </c>
      <c r="M49" s="14">
        <v>102.0</v>
      </c>
      <c r="N49" s="14" t="s">
        <v>58</v>
      </c>
      <c r="O49" s="14" t="s">
        <v>693</v>
      </c>
      <c r="P49" s="14" t="s">
        <v>694</v>
      </c>
      <c r="Q49" s="14" t="s">
        <v>695</v>
      </c>
      <c r="R49" s="14" t="s">
        <v>43</v>
      </c>
      <c r="S49" s="14" t="s">
        <v>43</v>
      </c>
      <c r="T49" s="18" t="s">
        <v>696</v>
      </c>
      <c r="U49" s="18" t="s">
        <v>697</v>
      </c>
      <c r="V49" s="18" t="s">
        <v>698</v>
      </c>
      <c r="W49" s="18" t="s">
        <v>699</v>
      </c>
      <c r="X49" s="18" t="s">
        <v>700</v>
      </c>
      <c r="Y49" s="18" t="s">
        <v>701</v>
      </c>
      <c r="Z49" s="18" t="s">
        <v>50</v>
      </c>
      <c r="AA49" s="45" t="s">
        <v>702</v>
      </c>
      <c r="AB49" s="20"/>
      <c r="AC49" s="20"/>
      <c r="AD49" s="21" t="s">
        <v>82</v>
      </c>
      <c r="AE49" s="20"/>
    </row>
    <row r="50" ht="40.5" customHeight="1">
      <c r="A50" s="13">
        <v>48.0</v>
      </c>
      <c r="B50" s="14" t="s">
        <v>703</v>
      </c>
      <c r="C50" s="14">
        <f>IFERROR(__xludf.DUMMYFUNCTION("SPLIT(B50,""_"")"),2015.0)</f>
        <v>2015</v>
      </c>
      <c r="D50" s="14" t="str">
        <f>IFERROR(__xludf.DUMMYFUNCTION("""COMPUTED_VALUE"""),"Moldovan")</f>
        <v>Moldovan</v>
      </c>
      <c r="E50" s="14" t="str">
        <f>IFERROR(__xludf.DUMMYFUNCTION("""COMPUTED_VALUE"""),"BRM")</f>
        <v>BRM</v>
      </c>
      <c r="F50" s="14" t="s">
        <v>704</v>
      </c>
      <c r="G50" s="14" t="s">
        <v>691</v>
      </c>
      <c r="H50" s="14" t="s">
        <v>179</v>
      </c>
      <c r="I50" s="26">
        <v>372.0</v>
      </c>
      <c r="J50" s="26" t="s">
        <v>705</v>
      </c>
      <c r="K50" s="13">
        <v>80.0</v>
      </c>
      <c r="L50" s="14" t="s">
        <v>36</v>
      </c>
      <c r="M50" s="14">
        <v>20.0</v>
      </c>
      <c r="N50" s="14" t="s">
        <v>58</v>
      </c>
      <c r="O50" s="14" t="s">
        <v>706</v>
      </c>
      <c r="P50" s="14" t="s">
        <v>707</v>
      </c>
      <c r="Q50" s="14" t="s">
        <v>708</v>
      </c>
      <c r="R50" s="14" t="s">
        <v>42</v>
      </c>
      <c r="S50" s="14" t="s">
        <v>43</v>
      </c>
      <c r="T50" s="18" t="s">
        <v>40</v>
      </c>
      <c r="U50" s="18" t="s">
        <v>40</v>
      </c>
      <c r="V50" s="18" t="s">
        <v>40</v>
      </c>
      <c r="W50" s="18" t="s">
        <v>709</v>
      </c>
      <c r="X50" s="18" t="s">
        <v>710</v>
      </c>
      <c r="Y50" s="18" t="s">
        <v>711</v>
      </c>
      <c r="Z50" s="18" t="s">
        <v>50</v>
      </c>
      <c r="AA50" s="45" t="s">
        <v>712</v>
      </c>
      <c r="AB50" s="20"/>
      <c r="AC50" s="20"/>
      <c r="AD50" s="21" t="s">
        <v>82</v>
      </c>
      <c r="AE50" s="20"/>
    </row>
    <row r="51" ht="40.5" customHeight="1">
      <c r="A51" s="13">
        <v>49.0</v>
      </c>
      <c r="B51" s="14" t="s">
        <v>713</v>
      </c>
      <c r="C51" s="14">
        <f>IFERROR(__xludf.DUMMYFUNCTION("SPLIT(B51,""_"")"),2012.0)</f>
        <v>2012</v>
      </c>
      <c r="D51" s="14" t="str">
        <f>IFERROR(__xludf.DUMMYFUNCTION("""COMPUTED_VALUE"""),"Ferré")</f>
        <v>Ferré</v>
      </c>
      <c r="E51" s="14" t="str">
        <f>IFERROR(__xludf.DUMMYFUNCTION("""COMPUTED_VALUE"""),"BRM")</f>
        <v>BRM</v>
      </c>
      <c r="F51" s="14" t="s">
        <v>714</v>
      </c>
      <c r="G51" s="14" t="s">
        <v>691</v>
      </c>
      <c r="H51" s="14" t="s">
        <v>179</v>
      </c>
      <c r="I51" s="13">
        <v>380.0</v>
      </c>
      <c r="J51" s="26" t="s">
        <v>715</v>
      </c>
      <c r="K51" s="13">
        <v>200.0</v>
      </c>
      <c r="L51" s="14" t="s">
        <v>36</v>
      </c>
      <c r="M51" s="14" t="s">
        <v>716</v>
      </c>
      <c r="N51" s="14" t="s">
        <v>70</v>
      </c>
      <c r="O51" s="14" t="s">
        <v>717</v>
      </c>
      <c r="P51" s="14" t="s">
        <v>718</v>
      </c>
      <c r="Q51" s="14" t="s">
        <v>719</v>
      </c>
      <c r="R51" s="14" t="s">
        <v>42</v>
      </c>
      <c r="S51" s="14" t="s">
        <v>43</v>
      </c>
      <c r="T51" s="18" t="s">
        <v>720</v>
      </c>
      <c r="U51" s="18" t="s">
        <v>40</v>
      </c>
      <c r="V51" s="18" t="s">
        <v>40</v>
      </c>
      <c r="W51" s="18" t="s">
        <v>721</v>
      </c>
      <c r="X51" s="18" t="s">
        <v>722</v>
      </c>
      <c r="Y51" s="18" t="s">
        <v>723</v>
      </c>
      <c r="Z51" s="18" t="s">
        <v>50</v>
      </c>
      <c r="AA51" s="54" t="s">
        <v>724</v>
      </c>
      <c r="AB51" s="20"/>
      <c r="AC51" s="20"/>
      <c r="AD51" s="21" t="s">
        <v>82</v>
      </c>
      <c r="AE51" s="20"/>
    </row>
    <row r="52" ht="40.5" customHeight="1">
      <c r="A52" s="13">
        <v>50.0</v>
      </c>
      <c r="B52" s="14" t="s">
        <v>725</v>
      </c>
      <c r="C52" s="14">
        <f>IFERROR(__xludf.DUMMYFUNCTION("SPLIT(B52,""_"")"),2005.0)</f>
        <v>2005</v>
      </c>
      <c r="D52" s="14" t="str">
        <f>IFERROR(__xludf.DUMMYFUNCTION("""COMPUTED_VALUE"""),"Izura")</f>
        <v>Izura</v>
      </c>
      <c r="E52" s="14" t="str">
        <f>IFERROR(__xludf.DUMMYFUNCTION("""COMPUTED_VALUE"""),"BRM")</f>
        <v>BRM</v>
      </c>
      <c r="F52" s="14" t="s">
        <v>726</v>
      </c>
      <c r="G52" s="14" t="s">
        <v>691</v>
      </c>
      <c r="H52" s="14" t="s">
        <v>55</v>
      </c>
      <c r="I52" s="13">
        <v>500.0</v>
      </c>
      <c r="J52" s="26" t="s">
        <v>727</v>
      </c>
      <c r="K52" s="13">
        <v>50.0</v>
      </c>
      <c r="L52" s="14" t="s">
        <v>728</v>
      </c>
      <c r="M52" s="14">
        <v>25.0</v>
      </c>
      <c r="N52" s="14" t="s">
        <v>58</v>
      </c>
      <c r="O52" s="14" t="s">
        <v>729</v>
      </c>
      <c r="P52" s="14" t="s">
        <v>730</v>
      </c>
      <c r="Q52" s="14" t="s">
        <v>481</v>
      </c>
      <c r="R52" s="14" t="s">
        <v>42</v>
      </c>
      <c r="S52" s="14" t="s">
        <v>43</v>
      </c>
      <c r="T52" s="18" t="s">
        <v>40</v>
      </c>
      <c r="U52" s="18" t="s">
        <v>731</v>
      </c>
      <c r="V52" s="18" t="s">
        <v>732</v>
      </c>
      <c r="W52" s="18" t="s">
        <v>733</v>
      </c>
      <c r="X52" s="18" t="s">
        <v>734</v>
      </c>
      <c r="Y52" s="18" t="s">
        <v>735</v>
      </c>
      <c r="Z52" s="18" t="s">
        <v>50</v>
      </c>
      <c r="AA52" s="47" t="s">
        <v>736</v>
      </c>
      <c r="AB52" s="20"/>
      <c r="AC52" s="20"/>
      <c r="AD52" s="21" t="s">
        <v>82</v>
      </c>
      <c r="AE52" s="20"/>
    </row>
    <row r="53" ht="40.5" customHeight="1">
      <c r="A53" s="13">
        <v>51.0</v>
      </c>
      <c r="B53" s="14" t="s">
        <v>737</v>
      </c>
      <c r="C53" s="14">
        <f>IFERROR(__xludf.DUMMYFUNCTION("SPLIT(B53,""_"")"),2014.0)</f>
        <v>2014</v>
      </c>
      <c r="D53" s="14" t="str">
        <f>IFERROR(__xludf.DUMMYFUNCTION("""COMPUTED_VALUE"""),"Moreno")</f>
        <v>Moreno</v>
      </c>
      <c r="E53" s="14" t="str">
        <f>IFERROR(__xludf.DUMMYFUNCTION("""COMPUTED_VALUE"""),"BRM")</f>
        <v>BRM</v>
      </c>
      <c r="F53" s="14" t="s">
        <v>738</v>
      </c>
      <c r="G53" s="14" t="s">
        <v>691</v>
      </c>
      <c r="H53" s="14" t="s">
        <v>179</v>
      </c>
      <c r="I53" s="13">
        <v>820.0</v>
      </c>
      <c r="J53" s="26" t="s">
        <v>739</v>
      </c>
      <c r="K53" s="13">
        <v>152.0</v>
      </c>
      <c r="L53" s="14" t="s">
        <v>36</v>
      </c>
      <c r="M53" s="14" t="s">
        <v>740</v>
      </c>
      <c r="N53" s="14" t="s">
        <v>38</v>
      </c>
      <c r="O53" s="14" t="s">
        <v>741</v>
      </c>
      <c r="P53" s="14" t="s">
        <v>742</v>
      </c>
      <c r="Q53" s="14" t="s">
        <v>40</v>
      </c>
      <c r="R53" s="14" t="s">
        <v>42</v>
      </c>
      <c r="S53" s="14" t="s">
        <v>93</v>
      </c>
      <c r="T53" s="18" t="s">
        <v>743</v>
      </c>
      <c r="U53" s="18" t="s">
        <v>744</v>
      </c>
      <c r="V53" s="18" t="s">
        <v>745</v>
      </c>
      <c r="W53" s="18" t="s">
        <v>746</v>
      </c>
      <c r="X53" s="18" t="s">
        <v>747</v>
      </c>
      <c r="Y53" s="18" t="s">
        <v>748</v>
      </c>
      <c r="Z53" s="18" t="s">
        <v>50</v>
      </c>
      <c r="AA53" s="45" t="s">
        <v>749</v>
      </c>
      <c r="AB53" s="18" t="s">
        <v>647</v>
      </c>
      <c r="AC53" s="20"/>
      <c r="AD53" s="21" t="s">
        <v>373</v>
      </c>
      <c r="AE53" s="22"/>
    </row>
    <row r="54" ht="40.5" customHeight="1">
      <c r="A54" s="13">
        <v>52.0</v>
      </c>
      <c r="B54" s="14" t="s">
        <v>750</v>
      </c>
      <c r="C54" s="14">
        <f>IFERROR(__xludf.DUMMYFUNCTION("SPLIT(B54,""_"")"),2016.0)</f>
        <v>2016</v>
      </c>
      <c r="D54" s="14" t="str">
        <f>IFERROR(__xludf.DUMMYFUNCTION("""COMPUTED_VALUE"""),"Hinojosa")</f>
        <v>Hinojosa</v>
      </c>
      <c r="E54" s="14" t="str">
        <f>IFERROR(__xludf.DUMMYFUNCTION("""COMPUTED_VALUE"""),"BRM")</f>
        <v>BRM</v>
      </c>
      <c r="F54" s="14" t="s">
        <v>751</v>
      </c>
      <c r="G54" s="14" t="s">
        <v>691</v>
      </c>
      <c r="H54" s="14" t="s">
        <v>68</v>
      </c>
      <c r="I54" s="13">
        <v>875.0</v>
      </c>
      <c r="J54" s="26" t="s">
        <v>752</v>
      </c>
      <c r="K54" s="26">
        <v>270.0</v>
      </c>
      <c r="L54" s="14" t="s">
        <v>753</v>
      </c>
      <c r="M54" s="14">
        <v>30.0</v>
      </c>
      <c r="N54" s="14" t="s">
        <v>70</v>
      </c>
      <c r="O54" s="14" t="s">
        <v>754</v>
      </c>
      <c r="P54" s="14" t="s">
        <v>755</v>
      </c>
      <c r="Q54" s="14" t="s">
        <v>756</v>
      </c>
      <c r="R54" s="14" t="s">
        <v>42</v>
      </c>
      <c r="S54" s="14" t="s">
        <v>43</v>
      </c>
      <c r="T54" s="18" t="s">
        <v>40</v>
      </c>
      <c r="U54" s="18" t="s">
        <v>757</v>
      </c>
      <c r="V54" s="18" t="s">
        <v>758</v>
      </c>
      <c r="W54" s="18" t="s">
        <v>759</v>
      </c>
      <c r="X54" s="18" t="s">
        <v>760</v>
      </c>
      <c r="Y54" s="18" t="s">
        <v>761</v>
      </c>
      <c r="Z54" s="18" t="s">
        <v>50</v>
      </c>
      <c r="AA54" s="45" t="s">
        <v>762</v>
      </c>
      <c r="AB54" s="18" t="s">
        <v>647</v>
      </c>
      <c r="AC54" s="20"/>
      <c r="AD54" s="21" t="s">
        <v>82</v>
      </c>
      <c r="AE54" s="20"/>
    </row>
    <row r="55" ht="40.5" customHeight="1">
      <c r="A55" s="13">
        <v>53.0</v>
      </c>
      <c r="B55" s="14" t="s">
        <v>763</v>
      </c>
      <c r="C55" s="14">
        <f>IFERROR(__xludf.DUMMYFUNCTION("SPLIT(B55,""_"")"),2022.0)</f>
        <v>2022</v>
      </c>
      <c r="D55" s="14" t="str">
        <f>IFERROR(__xludf.DUMMYFUNCTION("""COMPUTED_VALUE"""),"Sarli")</f>
        <v>Sarli</v>
      </c>
      <c r="E55" s="14" t="str">
        <f>IFERROR(__xludf.DUMMYFUNCTION("""COMPUTED_VALUE"""),"BRM")</f>
        <v>BRM</v>
      </c>
      <c r="F55" s="14" t="s">
        <v>764</v>
      </c>
      <c r="G55" s="14" t="s">
        <v>691</v>
      </c>
      <c r="H55" s="14" t="s">
        <v>68</v>
      </c>
      <c r="I55" s="13">
        <v>1034.0</v>
      </c>
      <c r="J55" s="26" t="s">
        <v>765</v>
      </c>
      <c r="K55" s="13">
        <v>169.0</v>
      </c>
      <c r="L55" s="18" t="s">
        <v>766</v>
      </c>
      <c r="M55" s="14" t="s">
        <v>767</v>
      </c>
      <c r="N55" s="14" t="s">
        <v>70</v>
      </c>
      <c r="O55" s="14" t="s">
        <v>768</v>
      </c>
      <c r="P55" s="14" t="s">
        <v>769</v>
      </c>
      <c r="Q55" s="14" t="s">
        <v>770</v>
      </c>
      <c r="R55" s="14" t="s">
        <v>42</v>
      </c>
      <c r="S55" s="14" t="s">
        <v>43</v>
      </c>
      <c r="T55" s="18" t="s">
        <v>771</v>
      </c>
      <c r="U55" s="18" t="s">
        <v>772</v>
      </c>
      <c r="V55" s="18" t="s">
        <v>773</v>
      </c>
      <c r="W55" s="18" t="s">
        <v>774</v>
      </c>
      <c r="X55" s="18" t="s">
        <v>775</v>
      </c>
      <c r="Y55" s="18" t="s">
        <v>776</v>
      </c>
      <c r="Z55" s="18" t="s">
        <v>50</v>
      </c>
      <c r="AA55" s="45" t="s">
        <v>777</v>
      </c>
      <c r="AB55" s="20"/>
      <c r="AC55" s="20"/>
      <c r="AD55" s="21" t="s">
        <v>82</v>
      </c>
      <c r="AE55" s="20"/>
    </row>
    <row r="56" ht="40.5" customHeight="1">
      <c r="A56" s="13">
        <v>54.0</v>
      </c>
      <c r="B56" s="14" t="s">
        <v>778</v>
      </c>
      <c r="C56" s="14">
        <f>IFERROR(__xludf.DUMMYFUNCTION("SPLIT(B56,""_"")"),2016.0)</f>
        <v>2016</v>
      </c>
      <c r="D56" s="14" t="str">
        <f>IFERROR(__xludf.DUMMYFUNCTION("""COMPUTED_VALUE"""),"Guasch")</f>
        <v>Guasch</v>
      </c>
      <c r="E56" s="14" t="str">
        <f>IFERROR(__xludf.DUMMYFUNCTION("""COMPUTED_VALUE"""),"BRM")</f>
        <v>BRM</v>
      </c>
      <c r="F56" s="14" t="s">
        <v>779</v>
      </c>
      <c r="G56" s="14" t="s">
        <v>691</v>
      </c>
      <c r="H56" s="14" t="s">
        <v>780</v>
      </c>
      <c r="I56" s="13">
        <v>1400.0</v>
      </c>
      <c r="J56" s="26" t="s">
        <v>781</v>
      </c>
      <c r="K56" s="13">
        <v>826.0</v>
      </c>
      <c r="L56" s="14" t="s">
        <v>782</v>
      </c>
      <c r="M56" s="14" t="s">
        <v>783</v>
      </c>
      <c r="N56" s="14" t="s">
        <v>58</v>
      </c>
      <c r="O56" s="14" t="s">
        <v>784</v>
      </c>
      <c r="P56" s="14" t="s">
        <v>785</v>
      </c>
      <c r="Q56" s="14" t="s">
        <v>786</v>
      </c>
      <c r="R56" s="14" t="s">
        <v>42</v>
      </c>
      <c r="S56" s="14" t="s">
        <v>93</v>
      </c>
      <c r="T56" s="18" t="s">
        <v>787</v>
      </c>
      <c r="U56" s="18" t="s">
        <v>788</v>
      </c>
      <c r="V56" s="18" t="s">
        <v>789</v>
      </c>
      <c r="W56" s="18" t="s">
        <v>790</v>
      </c>
      <c r="X56" s="18" t="s">
        <v>791</v>
      </c>
      <c r="Y56" s="18" t="s">
        <v>792</v>
      </c>
      <c r="Z56" s="18" t="s">
        <v>50</v>
      </c>
      <c r="AA56" s="45" t="s">
        <v>793</v>
      </c>
      <c r="AB56" s="20"/>
      <c r="AC56" s="20"/>
      <c r="AD56" s="21" t="s">
        <v>794</v>
      </c>
      <c r="AE56" s="22"/>
    </row>
    <row r="57" ht="40.5" customHeight="1">
      <c r="A57" s="13">
        <v>55.0</v>
      </c>
      <c r="B57" s="14" t="s">
        <v>795</v>
      </c>
      <c r="C57" s="14">
        <f>IFERROR(__xludf.DUMMYFUNCTION("SPLIT(B57,""_"")"),2017.0)</f>
        <v>2017</v>
      </c>
      <c r="D57" s="14" t="str">
        <f>IFERROR(__xludf.DUMMYFUNCTION("""COMPUTED_VALUE"""),"Bayram")</f>
        <v>Bayram</v>
      </c>
      <c r="E57" s="14" t="str">
        <f>IFERROR(__xludf.DUMMYFUNCTION("""COMPUTED_VALUE"""),"JPsycholinguistRes")</f>
        <v>JPsycholinguistRes</v>
      </c>
      <c r="F57" s="14" t="s">
        <v>796</v>
      </c>
      <c r="G57" s="14" t="s">
        <v>797</v>
      </c>
      <c r="H57" s="14" t="s">
        <v>798</v>
      </c>
      <c r="I57" s="13">
        <v>320.0</v>
      </c>
      <c r="J57" s="26" t="s">
        <v>799</v>
      </c>
      <c r="K57" s="13">
        <v>600.0</v>
      </c>
      <c r="L57" s="14" t="s">
        <v>36</v>
      </c>
      <c r="M57" s="14">
        <v>30.0</v>
      </c>
      <c r="N57" s="14" t="s">
        <v>58</v>
      </c>
      <c r="O57" s="14" t="s">
        <v>800</v>
      </c>
      <c r="P57" s="14" t="s">
        <v>801</v>
      </c>
      <c r="Q57" s="14" t="s">
        <v>40</v>
      </c>
      <c r="R57" s="14" t="s">
        <v>42</v>
      </c>
      <c r="S57" s="14" t="s">
        <v>43</v>
      </c>
      <c r="T57" s="14" t="s">
        <v>802</v>
      </c>
      <c r="U57" s="18" t="s">
        <v>40</v>
      </c>
      <c r="V57" s="18" t="s">
        <v>40</v>
      </c>
      <c r="W57" s="18" t="s">
        <v>803</v>
      </c>
      <c r="X57" s="14" t="s">
        <v>804</v>
      </c>
      <c r="Y57" s="14" t="s">
        <v>805</v>
      </c>
      <c r="Z57" s="14" t="s">
        <v>50</v>
      </c>
      <c r="AA57" s="14" t="s">
        <v>806</v>
      </c>
      <c r="AB57" s="20"/>
      <c r="AC57" s="20"/>
      <c r="AD57" s="21" t="s">
        <v>502</v>
      </c>
      <c r="AE57" s="20"/>
    </row>
    <row r="58" ht="40.5" customHeight="1">
      <c r="A58" s="13">
        <v>56.0</v>
      </c>
      <c r="B58" s="14" t="s">
        <v>807</v>
      </c>
      <c r="C58" s="14">
        <f>IFERROR(__xludf.DUMMYFUNCTION("SPLIT(B58,""_"")"),2024.0)</f>
        <v>2024</v>
      </c>
      <c r="D58" s="14" t="str">
        <f>IFERROR(__xludf.DUMMYFUNCTION("""COMPUTED_VALUE"""),"Conca")</f>
        <v>Conca</v>
      </c>
      <c r="E58" s="14" t="str">
        <f>IFERROR(__xludf.DUMMYFUNCTION("""COMPUTED_VALUE"""),"BRM")</f>
        <v>BRM</v>
      </c>
      <c r="F58" s="14" t="s">
        <v>808</v>
      </c>
      <c r="G58" s="14" t="s">
        <v>797</v>
      </c>
      <c r="H58" s="14" t="s">
        <v>55</v>
      </c>
      <c r="I58" s="26">
        <v>503.0</v>
      </c>
      <c r="J58" s="26" t="s">
        <v>809</v>
      </c>
      <c r="K58" s="26">
        <v>117.0</v>
      </c>
      <c r="L58" s="14" t="s">
        <v>810</v>
      </c>
      <c r="M58" s="14" t="s">
        <v>811</v>
      </c>
      <c r="N58" s="14" t="s">
        <v>58</v>
      </c>
      <c r="O58" s="59" t="s">
        <v>812</v>
      </c>
      <c r="P58" s="14" t="s">
        <v>813</v>
      </c>
      <c r="Q58" s="14" t="s">
        <v>40</v>
      </c>
      <c r="R58" s="14" t="s">
        <v>42</v>
      </c>
      <c r="S58" s="14" t="s">
        <v>43</v>
      </c>
      <c r="T58" s="14" t="s">
        <v>814</v>
      </c>
      <c r="U58" s="14" t="s">
        <v>815</v>
      </c>
      <c r="V58" s="14" t="s">
        <v>816</v>
      </c>
      <c r="W58" s="14" t="s">
        <v>817</v>
      </c>
      <c r="X58" s="14" t="s">
        <v>818</v>
      </c>
      <c r="Y58" s="14" t="s">
        <v>819</v>
      </c>
      <c r="Z58" s="25" t="s">
        <v>820</v>
      </c>
      <c r="AA58" s="25" t="s">
        <v>821</v>
      </c>
      <c r="AB58" s="19"/>
      <c r="AC58" s="20"/>
      <c r="AD58" s="21" t="s">
        <v>82</v>
      </c>
      <c r="AE58" s="20"/>
      <c r="AF58" s="44"/>
      <c r="AG58" s="44"/>
      <c r="AH58" s="44"/>
      <c r="AI58" s="44"/>
      <c r="AJ58" s="44"/>
      <c r="AK58" s="44"/>
      <c r="AL58" s="44"/>
      <c r="AM58" s="44"/>
      <c r="AN58" s="44"/>
      <c r="AO58" s="44"/>
      <c r="AP58" s="44"/>
      <c r="AQ58" s="44"/>
      <c r="AR58" s="44"/>
    </row>
    <row r="59" ht="40.5" customHeight="1">
      <c r="A59" s="60">
        <v>57.0</v>
      </c>
      <c r="B59" s="18" t="s">
        <v>822</v>
      </c>
      <c r="C59" s="14">
        <f>IFERROR(__xludf.DUMMYFUNCTION("SPLIT(B59,""_"")"),2002.0)</f>
        <v>2002</v>
      </c>
      <c r="D59" s="14" t="str">
        <f>IFERROR(__xludf.DUMMYFUNCTION("""COMPUTED_VALUE"""),"Barca")</f>
        <v>Barca</v>
      </c>
      <c r="E59" s="14" t="str">
        <f>IFERROR(__xludf.DUMMYFUNCTION("""COMPUTED_VALUE"""),"BRM")</f>
        <v>BRM</v>
      </c>
      <c r="F59" s="18" t="s">
        <v>823</v>
      </c>
      <c r="G59" s="18" t="s">
        <v>505</v>
      </c>
      <c r="H59" s="18" t="s">
        <v>179</v>
      </c>
      <c r="I59" s="61">
        <v>626.0</v>
      </c>
      <c r="J59" s="61" t="s">
        <v>824</v>
      </c>
      <c r="K59" s="61">
        <v>176.0</v>
      </c>
      <c r="L59" s="18" t="s">
        <v>36</v>
      </c>
      <c r="M59" s="18">
        <v>44.0</v>
      </c>
      <c r="N59" s="18" t="s">
        <v>58</v>
      </c>
      <c r="O59" s="29" t="s">
        <v>105</v>
      </c>
      <c r="P59" s="18" t="s">
        <v>825</v>
      </c>
      <c r="Q59" s="18" t="s">
        <v>40</v>
      </c>
      <c r="R59" s="18" t="s">
        <v>42</v>
      </c>
      <c r="S59" s="18" t="s">
        <v>42</v>
      </c>
      <c r="T59" s="18" t="s">
        <v>40</v>
      </c>
      <c r="U59" s="18" t="s">
        <v>40</v>
      </c>
      <c r="V59" s="18" t="s">
        <v>40</v>
      </c>
      <c r="W59" s="18" t="s">
        <v>826</v>
      </c>
      <c r="X59" s="14" t="s">
        <v>827</v>
      </c>
      <c r="Y59" s="18" t="s">
        <v>828</v>
      </c>
      <c r="Z59" s="18" t="s">
        <v>50</v>
      </c>
      <c r="AA59" s="25" t="s">
        <v>829</v>
      </c>
      <c r="AB59" s="18" t="s">
        <v>830</v>
      </c>
      <c r="AC59" s="21" t="s">
        <v>831</v>
      </c>
      <c r="AD59" s="21" t="s">
        <v>82</v>
      </c>
      <c r="AE59" s="20"/>
    </row>
    <row r="60" ht="40.5" customHeight="1">
      <c r="A60" s="60">
        <v>58.0</v>
      </c>
      <c r="B60" s="18" t="s">
        <v>832</v>
      </c>
      <c r="C60" s="14">
        <f>IFERROR(__xludf.DUMMYFUNCTION("SPLIT(B60,""_"")"),2002.0)</f>
        <v>2002</v>
      </c>
      <c r="D60" s="14" t="str">
        <f>IFERROR(__xludf.DUMMYFUNCTION("""COMPUTED_VALUE"""),"Blair")</f>
        <v>Blair</v>
      </c>
      <c r="E60" s="14" t="str">
        <f>IFERROR(__xludf.DUMMYFUNCTION("""COMPUTED_VALUE"""),"BRM")</f>
        <v>BRM</v>
      </c>
      <c r="F60" s="18" t="s">
        <v>833</v>
      </c>
      <c r="G60" s="18" t="s">
        <v>233</v>
      </c>
      <c r="H60" s="18" t="s">
        <v>55</v>
      </c>
      <c r="I60" s="61">
        <v>382.0</v>
      </c>
      <c r="J60" s="61" t="s">
        <v>834</v>
      </c>
      <c r="K60" s="61">
        <v>33.0</v>
      </c>
      <c r="L60" s="18" t="s">
        <v>36</v>
      </c>
      <c r="M60" s="18">
        <v>33.0</v>
      </c>
      <c r="N60" s="18" t="s">
        <v>38</v>
      </c>
      <c r="O60" s="29" t="s">
        <v>835</v>
      </c>
      <c r="P60" s="18" t="s">
        <v>836</v>
      </c>
      <c r="Q60" s="18" t="s">
        <v>40</v>
      </c>
      <c r="R60" s="18" t="s">
        <v>42</v>
      </c>
      <c r="S60" s="18" t="s">
        <v>93</v>
      </c>
      <c r="T60" s="18" t="s">
        <v>40</v>
      </c>
      <c r="U60" s="18" t="s">
        <v>837</v>
      </c>
      <c r="V60" s="18" t="s">
        <v>838</v>
      </c>
      <c r="W60" s="18" t="s">
        <v>839</v>
      </c>
      <c r="X60" s="18" t="s">
        <v>840</v>
      </c>
      <c r="Y60" s="18" t="s">
        <v>841</v>
      </c>
      <c r="Z60" s="18" t="s">
        <v>50</v>
      </c>
      <c r="AA60" s="62" t="s">
        <v>50</v>
      </c>
      <c r="AB60" s="18"/>
      <c r="AC60" s="21" t="s">
        <v>842</v>
      </c>
      <c r="AD60" s="21" t="s">
        <v>82</v>
      </c>
      <c r="AE60" s="20"/>
    </row>
    <row r="61" ht="40.5" customHeight="1">
      <c r="A61" s="60">
        <v>59.0</v>
      </c>
      <c r="B61" s="18" t="s">
        <v>843</v>
      </c>
      <c r="C61" s="14">
        <f>IFERROR(__xludf.DUMMYFUNCTION("SPLIT(B61,""_"")"),1977.0)</f>
        <v>1977</v>
      </c>
      <c r="D61" s="14" t="str">
        <f>IFERROR(__xludf.DUMMYFUNCTION("""COMPUTED_VALUE"""),"Gilhooly")</f>
        <v>Gilhooly</v>
      </c>
      <c r="E61" s="14" t="str">
        <f>IFERROR(__xludf.DUMMYFUNCTION("""COMPUTED_VALUE"""),"BRM")</f>
        <v>BRM</v>
      </c>
      <c r="F61" s="18" t="s">
        <v>844</v>
      </c>
      <c r="G61" s="18" t="s">
        <v>233</v>
      </c>
      <c r="H61" s="18" t="s">
        <v>55</v>
      </c>
      <c r="I61" s="61">
        <v>205.0</v>
      </c>
      <c r="J61" s="18" t="s">
        <v>845</v>
      </c>
      <c r="K61" s="61">
        <v>40.0</v>
      </c>
      <c r="L61" s="18" t="s">
        <v>36</v>
      </c>
      <c r="M61" s="18">
        <v>40.0</v>
      </c>
      <c r="N61" s="18" t="s">
        <v>58</v>
      </c>
      <c r="O61" s="29" t="s">
        <v>846</v>
      </c>
      <c r="P61" s="18" t="s">
        <v>40</v>
      </c>
      <c r="Q61" s="18" t="s">
        <v>847</v>
      </c>
      <c r="R61" s="18" t="s">
        <v>42</v>
      </c>
      <c r="S61" s="18" t="s">
        <v>43</v>
      </c>
      <c r="T61" s="18" t="s">
        <v>40</v>
      </c>
      <c r="U61" s="18" t="s">
        <v>848</v>
      </c>
      <c r="V61" s="18" t="s">
        <v>849</v>
      </c>
      <c r="W61" s="18" t="s">
        <v>850</v>
      </c>
      <c r="X61" s="18" t="s">
        <v>851</v>
      </c>
      <c r="Y61" s="18" t="s">
        <v>852</v>
      </c>
      <c r="Z61" s="18" t="s">
        <v>50</v>
      </c>
      <c r="AA61" s="62" t="s">
        <v>853</v>
      </c>
      <c r="AB61" s="18"/>
      <c r="AC61" s="18"/>
      <c r="AD61" s="21" t="s">
        <v>82</v>
      </c>
      <c r="AE61" s="20"/>
    </row>
    <row r="62" ht="40.5" customHeight="1">
      <c r="A62" s="60">
        <v>60.0</v>
      </c>
      <c r="B62" s="18" t="s">
        <v>854</v>
      </c>
      <c r="C62" s="14">
        <f>IFERROR(__xludf.DUMMYFUNCTION("SPLIT(B62,""_"")"),2005.0)</f>
        <v>2005</v>
      </c>
      <c r="D62" s="14" t="str">
        <f>IFERROR(__xludf.DUMMYFUNCTION("""COMPUTED_VALUE"""),"Morrow")</f>
        <v>Morrow</v>
      </c>
      <c r="E62" s="14" t="str">
        <f>IFERROR(__xludf.DUMMYFUNCTION("""COMPUTED_VALUE"""),"BRM
")</f>
        <v>BRM
</v>
      </c>
      <c r="F62" s="18" t="s">
        <v>855</v>
      </c>
      <c r="G62" s="18" t="s">
        <v>233</v>
      </c>
      <c r="H62" s="18" t="s">
        <v>55</v>
      </c>
      <c r="I62" s="61">
        <v>888.0</v>
      </c>
      <c r="J62" s="18" t="s">
        <v>856</v>
      </c>
      <c r="K62" s="61">
        <v>108.0</v>
      </c>
      <c r="L62" s="18" t="s">
        <v>857</v>
      </c>
      <c r="M62" s="18" t="s">
        <v>858</v>
      </c>
      <c r="N62" s="18" t="s">
        <v>58</v>
      </c>
      <c r="O62" s="29" t="s">
        <v>859</v>
      </c>
      <c r="P62" s="18" t="s">
        <v>860</v>
      </c>
      <c r="Q62" s="18" t="s">
        <v>40</v>
      </c>
      <c r="R62" s="18" t="s">
        <v>131</v>
      </c>
      <c r="S62" s="18" t="s">
        <v>131</v>
      </c>
      <c r="T62" s="18" t="s">
        <v>861</v>
      </c>
      <c r="U62" s="18" t="s">
        <v>862</v>
      </c>
      <c r="V62" s="18" t="s">
        <v>863</v>
      </c>
      <c r="W62" s="18" t="s">
        <v>864</v>
      </c>
      <c r="X62" s="18" t="s">
        <v>865</v>
      </c>
      <c r="Y62" s="18" t="s">
        <v>866</v>
      </c>
      <c r="Z62" s="18" t="s">
        <v>50</v>
      </c>
      <c r="AA62" s="63" t="s">
        <v>867</v>
      </c>
      <c r="AB62" s="18"/>
      <c r="AC62" s="18"/>
      <c r="AD62" s="21" t="s">
        <v>82</v>
      </c>
      <c r="AE62" s="20"/>
    </row>
    <row r="63" ht="40.5" customHeight="1">
      <c r="A63" s="60">
        <v>61.0</v>
      </c>
      <c r="B63" s="18" t="s">
        <v>868</v>
      </c>
      <c r="C63" s="14">
        <f>IFERROR(__xludf.DUMMYFUNCTION("SPLIT(B63,""_"")"),1975.0)</f>
        <v>1975</v>
      </c>
      <c r="D63" s="14" t="str">
        <f>IFERROR(__xludf.DUMMYFUNCTION("""COMPUTED_VALUE"""),"Zechmeister")</f>
        <v>Zechmeister</v>
      </c>
      <c r="E63" s="14" t="str">
        <f>IFERROR(__xludf.DUMMYFUNCTION("""COMPUTED_VALUE"""),"BRM")</f>
        <v>BRM</v>
      </c>
      <c r="F63" s="18" t="s">
        <v>869</v>
      </c>
      <c r="G63" s="18" t="s">
        <v>233</v>
      </c>
      <c r="H63" s="18" t="s">
        <v>870</v>
      </c>
      <c r="I63" s="61">
        <v>192.0</v>
      </c>
      <c r="J63" s="18" t="s">
        <v>871</v>
      </c>
      <c r="K63" s="61">
        <v>703.0</v>
      </c>
      <c r="L63" s="18" t="s">
        <v>36</v>
      </c>
      <c r="M63" s="18" t="s">
        <v>872</v>
      </c>
      <c r="N63" s="18" t="s">
        <v>873</v>
      </c>
      <c r="O63" s="29" t="s">
        <v>874</v>
      </c>
      <c r="P63" s="18" t="s">
        <v>875</v>
      </c>
      <c r="Q63" s="18" t="s">
        <v>40</v>
      </c>
      <c r="R63" s="18" t="s">
        <v>876</v>
      </c>
      <c r="S63" s="18" t="s">
        <v>877</v>
      </c>
      <c r="T63" s="18" t="s">
        <v>40</v>
      </c>
      <c r="U63" s="18" t="s">
        <v>878</v>
      </c>
      <c r="V63" s="18" t="s">
        <v>879</v>
      </c>
      <c r="W63" s="18" t="s">
        <v>880</v>
      </c>
      <c r="X63" s="18" t="s">
        <v>881</v>
      </c>
      <c r="Y63" s="18" t="s">
        <v>882</v>
      </c>
      <c r="Z63" s="18" t="s">
        <v>50</v>
      </c>
      <c r="AA63" s="62" t="s">
        <v>853</v>
      </c>
      <c r="AB63" s="18"/>
      <c r="AC63" s="18"/>
      <c r="AD63" s="21" t="s">
        <v>82</v>
      </c>
      <c r="AE63" s="20"/>
    </row>
    <row r="64" ht="40.5" customHeight="1">
      <c r="A64" s="64"/>
    </row>
    <row r="65" ht="40.5" customHeight="1">
      <c r="A65" s="64"/>
    </row>
    <row r="66" ht="40.5" customHeight="1">
      <c r="A66" s="64"/>
    </row>
    <row r="67" ht="40.5" customHeight="1">
      <c r="A67" s="64"/>
    </row>
    <row r="68" ht="40.5" customHeight="1">
      <c r="A68" s="64"/>
    </row>
    <row r="69" ht="40.5" customHeight="1">
      <c r="A69" s="64"/>
    </row>
    <row r="70" ht="40.5" customHeight="1">
      <c r="A70" s="64"/>
    </row>
    <row r="71" ht="40.5" customHeight="1">
      <c r="A71" s="64"/>
    </row>
    <row r="72" ht="40.5" customHeight="1">
      <c r="A72" s="64"/>
    </row>
    <row r="73" ht="40.5" customHeight="1">
      <c r="A73" s="64"/>
    </row>
    <row r="74" ht="40.5" customHeight="1">
      <c r="A74" s="64"/>
    </row>
    <row r="75" ht="40.5" customHeight="1">
      <c r="A75" s="64"/>
    </row>
    <row r="76" ht="40.5" customHeight="1">
      <c r="A76" s="64"/>
    </row>
    <row r="77" ht="40.5" customHeight="1">
      <c r="A77" s="64"/>
    </row>
    <row r="78" ht="40.5" customHeight="1">
      <c r="A78" s="64"/>
    </row>
    <row r="79" ht="40.5" customHeight="1">
      <c r="A79" s="64"/>
    </row>
    <row r="80" ht="40.5" customHeight="1">
      <c r="A80" s="64"/>
    </row>
    <row r="81" ht="40.5" customHeight="1">
      <c r="A81" s="64"/>
    </row>
    <row r="82" ht="40.5" customHeight="1">
      <c r="A82" s="64"/>
    </row>
    <row r="83" ht="40.5" customHeight="1">
      <c r="A83" s="64"/>
    </row>
    <row r="84" ht="40.5" customHeight="1">
      <c r="A84" s="64"/>
    </row>
    <row r="85" ht="40.5" customHeight="1">
      <c r="A85" s="64"/>
    </row>
    <row r="86" ht="40.5" customHeight="1">
      <c r="A86" s="64"/>
    </row>
    <row r="87" ht="40.5" customHeight="1">
      <c r="A87" s="64"/>
    </row>
    <row r="88" ht="40.5" customHeight="1">
      <c r="A88" s="64"/>
    </row>
    <row r="89" ht="40.5" customHeight="1">
      <c r="A89" s="64"/>
    </row>
    <row r="90" ht="40.5" customHeight="1">
      <c r="A90" s="64"/>
    </row>
    <row r="91" ht="40.5" customHeight="1">
      <c r="A91" s="64"/>
    </row>
    <row r="92" ht="40.5" customHeight="1">
      <c r="A92" s="64"/>
    </row>
    <row r="93" ht="40.5" customHeight="1">
      <c r="A93" s="64"/>
    </row>
    <row r="94" ht="40.5" customHeight="1">
      <c r="A94" s="64"/>
    </row>
    <row r="95" ht="40.5" customHeight="1">
      <c r="A95" s="64"/>
    </row>
    <row r="96" ht="40.5" customHeight="1">
      <c r="A96" s="64"/>
    </row>
    <row r="97" ht="40.5" customHeight="1">
      <c r="A97" s="64"/>
    </row>
    <row r="98" ht="40.5" customHeight="1">
      <c r="A98" s="64"/>
    </row>
    <row r="99" ht="40.5" customHeight="1">
      <c r="A99" s="64"/>
    </row>
    <row r="100" ht="40.5" customHeight="1">
      <c r="A100" s="64"/>
    </row>
    <row r="101" ht="40.5" customHeight="1">
      <c r="A101" s="64"/>
    </row>
    <row r="102" ht="40.5" customHeight="1">
      <c r="A102" s="64"/>
    </row>
    <row r="103" ht="40.5" customHeight="1">
      <c r="A103" s="64"/>
    </row>
    <row r="104" ht="40.5" customHeight="1">
      <c r="A104" s="64"/>
    </row>
    <row r="105" ht="40.5" customHeight="1">
      <c r="A105" s="64"/>
    </row>
    <row r="106" ht="40.5" customHeight="1">
      <c r="A106" s="64"/>
    </row>
    <row r="107" ht="40.5" customHeight="1">
      <c r="A107" s="64"/>
    </row>
    <row r="108" ht="40.5" customHeight="1">
      <c r="A108" s="64"/>
    </row>
    <row r="109" ht="40.5" customHeight="1">
      <c r="A109" s="64"/>
    </row>
    <row r="110" ht="40.5" customHeight="1">
      <c r="A110" s="64"/>
    </row>
    <row r="111" ht="40.5" customHeight="1">
      <c r="A111" s="64"/>
    </row>
    <row r="112" ht="40.5" customHeight="1">
      <c r="A112" s="64"/>
    </row>
    <row r="113" ht="40.5" customHeight="1">
      <c r="A113" s="64"/>
    </row>
    <row r="114" ht="40.5" customHeight="1">
      <c r="A114" s="64"/>
    </row>
    <row r="115" ht="40.5" customHeight="1">
      <c r="A115" s="64"/>
    </row>
    <row r="116" ht="40.5" customHeight="1">
      <c r="A116" s="64"/>
    </row>
    <row r="117" ht="40.5" customHeight="1">
      <c r="A117" s="64"/>
    </row>
    <row r="118" ht="40.5" customHeight="1">
      <c r="A118" s="64"/>
    </row>
    <row r="119" ht="40.5" customHeight="1">
      <c r="A119" s="64"/>
    </row>
    <row r="120" ht="40.5" customHeight="1">
      <c r="A120" s="64"/>
    </row>
    <row r="121" ht="40.5" customHeight="1">
      <c r="A121" s="64"/>
    </row>
    <row r="122" ht="40.5" customHeight="1">
      <c r="A122" s="64"/>
    </row>
    <row r="123" ht="40.5" customHeight="1">
      <c r="A123" s="64"/>
    </row>
    <row r="124" ht="40.5" customHeight="1">
      <c r="A124" s="64"/>
    </row>
    <row r="125" ht="40.5" customHeight="1">
      <c r="A125" s="64"/>
    </row>
    <row r="126" ht="40.5" customHeight="1">
      <c r="A126" s="64"/>
    </row>
    <row r="127" ht="40.5" customHeight="1">
      <c r="A127" s="64"/>
    </row>
    <row r="128" ht="40.5" customHeight="1">
      <c r="A128" s="64"/>
    </row>
    <row r="129" ht="40.5" customHeight="1">
      <c r="A129" s="64"/>
    </row>
    <row r="130" ht="40.5" customHeight="1">
      <c r="A130" s="64"/>
    </row>
    <row r="131" ht="40.5" customHeight="1">
      <c r="A131" s="64"/>
    </row>
    <row r="132" ht="40.5" customHeight="1">
      <c r="A132" s="64"/>
    </row>
    <row r="133" ht="40.5" customHeight="1">
      <c r="A133" s="64"/>
    </row>
    <row r="134" ht="40.5" customHeight="1">
      <c r="A134" s="64"/>
    </row>
    <row r="135" ht="40.5" customHeight="1">
      <c r="A135" s="64"/>
    </row>
    <row r="136" ht="40.5" customHeight="1">
      <c r="A136" s="64"/>
    </row>
    <row r="137" ht="40.5" customHeight="1">
      <c r="A137" s="64"/>
    </row>
    <row r="138" ht="40.5" customHeight="1">
      <c r="A138" s="64"/>
    </row>
    <row r="139" ht="40.5" customHeight="1">
      <c r="A139" s="64"/>
    </row>
    <row r="140" ht="40.5" customHeight="1">
      <c r="A140" s="64"/>
    </row>
    <row r="141" ht="40.5" customHeight="1">
      <c r="A141" s="64"/>
    </row>
    <row r="142" ht="40.5" customHeight="1">
      <c r="A142" s="64"/>
    </row>
    <row r="143" ht="40.5" customHeight="1">
      <c r="A143" s="64"/>
    </row>
    <row r="144" ht="40.5" customHeight="1">
      <c r="A144" s="64"/>
    </row>
    <row r="145" ht="40.5" customHeight="1">
      <c r="A145" s="64"/>
    </row>
    <row r="146" ht="40.5" customHeight="1">
      <c r="A146" s="64"/>
    </row>
    <row r="147" ht="40.5" customHeight="1">
      <c r="A147" s="64"/>
    </row>
    <row r="148" ht="40.5" customHeight="1">
      <c r="A148" s="64"/>
    </row>
    <row r="149" ht="40.5" customHeight="1">
      <c r="A149" s="64"/>
    </row>
    <row r="150" ht="40.5" customHeight="1">
      <c r="A150" s="64"/>
    </row>
    <row r="151" ht="40.5" customHeight="1">
      <c r="A151" s="64"/>
    </row>
    <row r="152" ht="40.5" customHeight="1">
      <c r="A152" s="64"/>
    </row>
    <row r="153" ht="40.5" customHeight="1">
      <c r="A153" s="64"/>
    </row>
    <row r="154" ht="40.5" customHeight="1">
      <c r="A154" s="64"/>
    </row>
    <row r="155" ht="40.5" customHeight="1">
      <c r="A155" s="64"/>
    </row>
    <row r="156" ht="40.5" customHeight="1">
      <c r="A156" s="64"/>
    </row>
    <row r="157" ht="40.5" customHeight="1">
      <c r="A157" s="64"/>
    </row>
    <row r="158" ht="40.5" customHeight="1">
      <c r="A158" s="64"/>
    </row>
    <row r="159" ht="40.5" customHeight="1">
      <c r="A159" s="64"/>
    </row>
    <row r="160" ht="40.5" customHeight="1">
      <c r="A160" s="64"/>
    </row>
    <row r="161" ht="40.5" customHeight="1">
      <c r="A161" s="64"/>
    </row>
    <row r="162" ht="40.5" customHeight="1">
      <c r="A162" s="64"/>
    </row>
    <row r="163" ht="40.5" customHeight="1">
      <c r="A163" s="64"/>
    </row>
    <row r="164" ht="40.5" customHeight="1">
      <c r="A164" s="64"/>
    </row>
    <row r="165" ht="40.5" customHeight="1">
      <c r="A165" s="64"/>
    </row>
    <row r="166" ht="40.5" customHeight="1">
      <c r="A166" s="64"/>
    </row>
    <row r="167" ht="40.5" customHeight="1">
      <c r="A167" s="64"/>
    </row>
    <row r="168" ht="40.5" customHeight="1">
      <c r="A168" s="64"/>
    </row>
    <row r="169" ht="40.5" customHeight="1">
      <c r="A169" s="64"/>
    </row>
    <row r="170" ht="40.5" customHeight="1">
      <c r="A170" s="64"/>
    </row>
    <row r="171" ht="40.5" customHeight="1">
      <c r="A171" s="64"/>
    </row>
    <row r="172" ht="40.5" customHeight="1">
      <c r="A172" s="64"/>
    </row>
    <row r="173" ht="40.5" customHeight="1">
      <c r="A173" s="64"/>
    </row>
    <row r="174" ht="40.5" customHeight="1">
      <c r="A174" s="64"/>
    </row>
    <row r="175" ht="40.5" customHeight="1">
      <c r="A175" s="64"/>
    </row>
    <row r="176" ht="40.5" customHeight="1">
      <c r="A176" s="64"/>
    </row>
    <row r="177" ht="40.5" customHeight="1">
      <c r="A177" s="64"/>
    </row>
    <row r="178" ht="40.5" customHeight="1">
      <c r="A178" s="64"/>
    </row>
    <row r="179" ht="40.5" customHeight="1">
      <c r="A179" s="64"/>
    </row>
    <row r="180" ht="40.5" customHeight="1">
      <c r="A180" s="64"/>
    </row>
    <row r="181" ht="40.5" customHeight="1">
      <c r="A181" s="64"/>
    </row>
    <row r="182" ht="40.5" customHeight="1">
      <c r="A182" s="64"/>
    </row>
    <row r="183" ht="40.5" customHeight="1">
      <c r="A183" s="64"/>
    </row>
    <row r="184" ht="40.5" customHeight="1">
      <c r="A184" s="64"/>
    </row>
    <row r="185" ht="40.5" customHeight="1">
      <c r="A185" s="64"/>
    </row>
    <row r="186" ht="40.5" customHeight="1">
      <c r="A186" s="64"/>
    </row>
    <row r="187" ht="40.5" customHeight="1">
      <c r="A187" s="64"/>
    </row>
    <row r="188" ht="40.5" customHeight="1">
      <c r="A188" s="64"/>
    </row>
    <row r="189" ht="40.5" customHeight="1">
      <c r="A189" s="64"/>
    </row>
    <row r="190" ht="40.5" customHeight="1">
      <c r="A190" s="64"/>
    </row>
    <row r="191" ht="40.5" customHeight="1">
      <c r="A191" s="64"/>
    </row>
    <row r="192" ht="40.5" customHeight="1">
      <c r="A192" s="64"/>
    </row>
    <row r="193" ht="40.5" customHeight="1">
      <c r="A193" s="64"/>
    </row>
    <row r="194" ht="40.5" customHeight="1">
      <c r="A194" s="64"/>
    </row>
    <row r="195" ht="40.5" customHeight="1">
      <c r="A195" s="64"/>
    </row>
    <row r="196" ht="40.5" customHeight="1">
      <c r="A196" s="64"/>
    </row>
    <row r="197" ht="40.5" customHeight="1">
      <c r="A197" s="64"/>
    </row>
    <row r="198" ht="40.5" customHeight="1">
      <c r="A198" s="64"/>
    </row>
    <row r="199" ht="40.5" customHeight="1">
      <c r="A199" s="64"/>
    </row>
    <row r="200" ht="40.5" customHeight="1">
      <c r="A200" s="64"/>
    </row>
    <row r="201" ht="40.5" customHeight="1">
      <c r="A201" s="64"/>
    </row>
    <row r="202" ht="40.5" customHeight="1">
      <c r="A202" s="64"/>
    </row>
    <row r="203" ht="40.5" customHeight="1">
      <c r="A203" s="64"/>
    </row>
    <row r="204" ht="40.5" customHeight="1">
      <c r="A204" s="64"/>
    </row>
    <row r="205" ht="40.5" customHeight="1">
      <c r="A205" s="64"/>
    </row>
    <row r="206" ht="40.5" customHeight="1">
      <c r="A206" s="64"/>
    </row>
    <row r="207" ht="40.5" customHeight="1">
      <c r="A207" s="64"/>
    </row>
    <row r="208" ht="40.5" customHeight="1">
      <c r="A208" s="64"/>
    </row>
    <row r="209" ht="40.5" customHeight="1">
      <c r="A209" s="64"/>
    </row>
    <row r="210" ht="40.5" customHeight="1">
      <c r="A210" s="64"/>
    </row>
    <row r="211" ht="40.5" customHeight="1">
      <c r="A211" s="64"/>
    </row>
    <row r="212" ht="40.5" customHeight="1">
      <c r="A212" s="64"/>
    </row>
    <row r="213" ht="40.5" customHeight="1">
      <c r="A213" s="64"/>
    </row>
    <row r="214" ht="40.5" customHeight="1">
      <c r="A214" s="64"/>
    </row>
    <row r="215" ht="40.5" customHeight="1">
      <c r="A215" s="64"/>
    </row>
    <row r="216" ht="40.5" customHeight="1">
      <c r="A216" s="64"/>
    </row>
    <row r="217" ht="40.5" customHeight="1">
      <c r="A217" s="64"/>
    </row>
    <row r="218" ht="40.5" customHeight="1">
      <c r="A218" s="64"/>
    </row>
    <row r="219" ht="40.5" customHeight="1">
      <c r="A219" s="64"/>
    </row>
    <row r="220" ht="40.5" customHeight="1">
      <c r="A220" s="64"/>
    </row>
    <row r="221" ht="40.5" customHeight="1">
      <c r="A221" s="64"/>
    </row>
    <row r="222" ht="40.5" customHeight="1">
      <c r="A222" s="64"/>
    </row>
    <row r="223" ht="40.5" customHeight="1">
      <c r="A223" s="64"/>
    </row>
    <row r="224" ht="40.5" customHeight="1">
      <c r="A224" s="64"/>
    </row>
    <row r="225" ht="40.5" customHeight="1">
      <c r="A225" s="64"/>
    </row>
    <row r="226" ht="40.5" customHeight="1">
      <c r="A226" s="64"/>
    </row>
    <row r="227" ht="40.5" customHeight="1">
      <c r="A227" s="64"/>
    </row>
    <row r="228" ht="40.5" customHeight="1">
      <c r="A228" s="64"/>
    </row>
    <row r="229" ht="40.5" customHeight="1">
      <c r="A229" s="64"/>
    </row>
    <row r="230" ht="40.5" customHeight="1">
      <c r="A230" s="64"/>
    </row>
    <row r="231" ht="40.5" customHeight="1">
      <c r="A231" s="64"/>
    </row>
    <row r="232" ht="40.5" customHeight="1">
      <c r="A232" s="64"/>
    </row>
    <row r="233" ht="40.5" customHeight="1">
      <c r="A233" s="64"/>
    </row>
    <row r="234" ht="40.5" customHeight="1">
      <c r="A234" s="64"/>
    </row>
    <row r="235" ht="40.5" customHeight="1">
      <c r="A235" s="64"/>
    </row>
    <row r="236" ht="40.5" customHeight="1">
      <c r="A236" s="64"/>
    </row>
    <row r="237" ht="40.5" customHeight="1">
      <c r="A237" s="64"/>
    </row>
    <row r="238" ht="40.5" customHeight="1">
      <c r="A238" s="64"/>
    </row>
    <row r="239" ht="40.5" customHeight="1">
      <c r="A239" s="64"/>
    </row>
    <row r="240" ht="40.5" customHeight="1">
      <c r="A240" s="64"/>
    </row>
    <row r="241" ht="40.5" customHeight="1">
      <c r="A241" s="64"/>
    </row>
    <row r="242" ht="40.5" customHeight="1">
      <c r="A242" s="64"/>
    </row>
    <row r="243" ht="40.5" customHeight="1">
      <c r="A243" s="64"/>
    </row>
    <row r="244" ht="40.5" customHeight="1">
      <c r="A244" s="64"/>
    </row>
    <row r="245" ht="40.5" customHeight="1">
      <c r="A245" s="64"/>
    </row>
    <row r="246" ht="40.5" customHeight="1">
      <c r="A246" s="64"/>
    </row>
    <row r="247" ht="40.5" customHeight="1">
      <c r="A247" s="64"/>
    </row>
    <row r="248" ht="40.5" customHeight="1">
      <c r="A248" s="64"/>
    </row>
    <row r="249" ht="40.5" customHeight="1">
      <c r="A249" s="64"/>
    </row>
    <row r="250" ht="40.5" customHeight="1">
      <c r="A250" s="64"/>
    </row>
    <row r="251" ht="40.5" customHeight="1">
      <c r="A251" s="64"/>
    </row>
    <row r="252" ht="40.5" customHeight="1">
      <c r="A252" s="64"/>
    </row>
    <row r="253" ht="40.5" customHeight="1">
      <c r="A253" s="64"/>
    </row>
    <row r="254" ht="40.5" customHeight="1">
      <c r="A254" s="64"/>
    </row>
    <row r="255" ht="40.5" customHeight="1">
      <c r="A255" s="64"/>
    </row>
    <row r="256" ht="40.5" customHeight="1">
      <c r="A256" s="64"/>
    </row>
    <row r="257" ht="40.5" customHeight="1">
      <c r="A257" s="64"/>
    </row>
    <row r="258" ht="40.5" customHeight="1">
      <c r="A258" s="64"/>
    </row>
    <row r="259" ht="40.5" customHeight="1">
      <c r="A259" s="64"/>
    </row>
    <row r="260" ht="40.5" customHeight="1">
      <c r="A260" s="64"/>
    </row>
    <row r="261" ht="40.5" customHeight="1">
      <c r="A261" s="64"/>
    </row>
    <row r="262" ht="40.5" customHeight="1">
      <c r="A262" s="64"/>
    </row>
    <row r="263" ht="40.5" customHeight="1">
      <c r="A263" s="64"/>
    </row>
    <row r="264" ht="40.5" customHeight="1">
      <c r="A264" s="64"/>
    </row>
    <row r="265" ht="40.5" customHeight="1">
      <c r="A265" s="64"/>
    </row>
    <row r="266" ht="40.5" customHeight="1">
      <c r="A266" s="64"/>
    </row>
    <row r="267" ht="40.5" customHeight="1">
      <c r="A267" s="64"/>
    </row>
    <row r="268" ht="40.5" customHeight="1">
      <c r="A268" s="64"/>
    </row>
    <row r="269" ht="40.5" customHeight="1">
      <c r="A269" s="64"/>
    </row>
    <row r="270" ht="40.5" customHeight="1">
      <c r="A270" s="64"/>
    </row>
    <row r="271" ht="40.5" customHeight="1">
      <c r="A271" s="64"/>
    </row>
    <row r="272" ht="40.5" customHeight="1">
      <c r="A272" s="64"/>
    </row>
    <row r="273" ht="40.5" customHeight="1">
      <c r="A273" s="64"/>
    </row>
    <row r="274" ht="40.5" customHeight="1">
      <c r="A274" s="64"/>
    </row>
    <row r="275" ht="40.5" customHeight="1">
      <c r="A275" s="64"/>
    </row>
    <row r="276" ht="40.5" customHeight="1">
      <c r="A276" s="64"/>
    </row>
    <row r="277" ht="40.5" customHeight="1">
      <c r="A277" s="64"/>
    </row>
    <row r="278" ht="40.5" customHeight="1">
      <c r="A278" s="64"/>
    </row>
    <row r="279" ht="40.5" customHeight="1">
      <c r="A279" s="64"/>
    </row>
    <row r="280" ht="40.5" customHeight="1">
      <c r="A280" s="64"/>
    </row>
    <row r="281" ht="40.5" customHeight="1">
      <c r="A281" s="64"/>
    </row>
    <row r="282" ht="40.5" customHeight="1">
      <c r="A282" s="64"/>
    </row>
    <row r="283" ht="40.5" customHeight="1">
      <c r="A283" s="64"/>
    </row>
    <row r="284" ht="40.5" customHeight="1">
      <c r="A284" s="64"/>
    </row>
    <row r="285" ht="40.5" customHeight="1">
      <c r="A285" s="64"/>
    </row>
    <row r="286" ht="40.5" customHeight="1">
      <c r="A286" s="64"/>
    </row>
    <row r="287" ht="40.5" customHeight="1">
      <c r="A287" s="64"/>
    </row>
    <row r="288" ht="40.5" customHeight="1">
      <c r="A288" s="64"/>
    </row>
    <row r="289" ht="40.5" customHeight="1">
      <c r="A289" s="64"/>
    </row>
    <row r="290" ht="40.5" customHeight="1">
      <c r="A290" s="64"/>
    </row>
    <row r="291" ht="40.5" customHeight="1">
      <c r="A291" s="64"/>
    </row>
    <row r="292" ht="40.5" customHeight="1">
      <c r="A292" s="64"/>
    </row>
    <row r="293" ht="40.5" customHeight="1">
      <c r="A293" s="64"/>
    </row>
    <row r="294" ht="40.5" customHeight="1">
      <c r="A294" s="64"/>
    </row>
    <row r="295" ht="40.5" customHeight="1">
      <c r="A295" s="64"/>
    </row>
    <row r="296" ht="40.5" customHeight="1">
      <c r="A296" s="64"/>
    </row>
    <row r="297" ht="40.5" customHeight="1">
      <c r="A297" s="64"/>
    </row>
    <row r="298" ht="40.5" customHeight="1">
      <c r="A298" s="64"/>
    </row>
    <row r="299" ht="40.5" customHeight="1">
      <c r="A299" s="64"/>
    </row>
    <row r="300" ht="40.5" customHeight="1">
      <c r="A300" s="64"/>
    </row>
    <row r="301" ht="40.5" customHeight="1">
      <c r="A301" s="64"/>
    </row>
    <row r="302" ht="40.5" customHeight="1">
      <c r="A302" s="64"/>
    </row>
    <row r="303" ht="40.5" customHeight="1">
      <c r="A303" s="64"/>
    </row>
    <row r="304" ht="40.5" customHeight="1">
      <c r="A304" s="64"/>
    </row>
    <row r="305" ht="40.5" customHeight="1">
      <c r="A305" s="64"/>
    </row>
    <row r="306" ht="40.5" customHeight="1">
      <c r="A306" s="64"/>
    </row>
    <row r="307" ht="40.5" customHeight="1">
      <c r="A307" s="64"/>
    </row>
    <row r="308" ht="40.5" customHeight="1">
      <c r="A308" s="64"/>
    </row>
    <row r="309" ht="40.5" customHeight="1">
      <c r="A309" s="64"/>
    </row>
    <row r="310" ht="40.5" customHeight="1">
      <c r="A310" s="64"/>
    </row>
    <row r="311" ht="40.5" customHeight="1">
      <c r="A311" s="64"/>
    </row>
    <row r="312" ht="40.5" customHeight="1">
      <c r="A312" s="64"/>
    </row>
    <row r="313" ht="40.5" customHeight="1">
      <c r="A313" s="64"/>
    </row>
    <row r="314" ht="40.5" customHeight="1">
      <c r="A314" s="64"/>
    </row>
    <row r="315" ht="40.5" customHeight="1">
      <c r="A315" s="64"/>
    </row>
    <row r="316" ht="40.5" customHeight="1">
      <c r="A316" s="64"/>
    </row>
    <row r="317" ht="40.5" customHeight="1">
      <c r="A317" s="64"/>
    </row>
    <row r="318" ht="40.5" customHeight="1">
      <c r="A318" s="64"/>
    </row>
    <row r="319" ht="40.5" customHeight="1">
      <c r="A319" s="64"/>
    </row>
    <row r="320" ht="40.5" customHeight="1">
      <c r="A320" s="64"/>
    </row>
    <row r="321" ht="40.5" customHeight="1">
      <c r="A321" s="64"/>
    </row>
    <row r="322" ht="40.5" customHeight="1">
      <c r="A322" s="64"/>
    </row>
    <row r="323" ht="40.5" customHeight="1">
      <c r="A323" s="64"/>
    </row>
    <row r="324" ht="40.5" customHeight="1">
      <c r="A324" s="64"/>
    </row>
    <row r="325" ht="40.5" customHeight="1">
      <c r="A325" s="64"/>
    </row>
    <row r="326" ht="40.5" customHeight="1">
      <c r="A326" s="64"/>
    </row>
    <row r="327" ht="40.5" customHeight="1">
      <c r="A327" s="64"/>
    </row>
    <row r="328" ht="40.5" customHeight="1">
      <c r="A328" s="64"/>
    </row>
    <row r="329" ht="40.5" customHeight="1">
      <c r="A329" s="64"/>
    </row>
    <row r="330" ht="40.5" customHeight="1">
      <c r="A330" s="64"/>
    </row>
    <row r="331" ht="40.5" customHeight="1">
      <c r="A331" s="64"/>
    </row>
    <row r="332" ht="40.5" customHeight="1">
      <c r="A332" s="64"/>
    </row>
    <row r="333" ht="40.5" customHeight="1">
      <c r="A333" s="64"/>
    </row>
    <row r="334" ht="40.5" customHeight="1">
      <c r="A334" s="64"/>
    </row>
    <row r="335" ht="40.5" customHeight="1">
      <c r="A335" s="64"/>
    </row>
    <row r="336" ht="40.5" customHeight="1">
      <c r="A336" s="64"/>
    </row>
    <row r="337" ht="40.5" customHeight="1">
      <c r="A337" s="64"/>
    </row>
    <row r="338" ht="40.5" customHeight="1">
      <c r="A338" s="64"/>
    </row>
    <row r="339" ht="40.5" customHeight="1">
      <c r="A339" s="64"/>
    </row>
    <row r="340" ht="40.5" customHeight="1">
      <c r="A340" s="64"/>
    </row>
    <row r="341" ht="40.5" customHeight="1">
      <c r="A341" s="64"/>
    </row>
    <row r="342" ht="40.5" customHeight="1">
      <c r="A342" s="64"/>
    </row>
    <row r="343" ht="40.5" customHeight="1">
      <c r="A343" s="64"/>
    </row>
    <row r="344" ht="40.5" customHeight="1">
      <c r="A344" s="64"/>
    </row>
    <row r="345" ht="40.5" customHeight="1">
      <c r="A345" s="64"/>
    </row>
    <row r="346" ht="40.5" customHeight="1">
      <c r="A346" s="64"/>
    </row>
    <row r="347" ht="40.5" customHeight="1">
      <c r="A347" s="64"/>
    </row>
    <row r="348" ht="40.5" customHeight="1">
      <c r="A348" s="64"/>
    </row>
    <row r="349" ht="40.5" customHeight="1">
      <c r="A349" s="64"/>
    </row>
    <row r="350" ht="40.5" customHeight="1">
      <c r="A350" s="64"/>
    </row>
    <row r="351" ht="40.5" customHeight="1">
      <c r="A351" s="64"/>
    </row>
    <row r="352" ht="40.5" customHeight="1">
      <c r="A352" s="64"/>
    </row>
    <row r="353" ht="40.5" customHeight="1">
      <c r="A353" s="64"/>
    </row>
    <row r="354" ht="40.5" customHeight="1">
      <c r="A354" s="64"/>
    </row>
    <row r="355" ht="40.5" customHeight="1">
      <c r="A355" s="64"/>
    </row>
    <row r="356" ht="40.5" customHeight="1">
      <c r="A356" s="64"/>
    </row>
    <row r="357" ht="40.5" customHeight="1">
      <c r="A357" s="64"/>
    </row>
    <row r="358" ht="40.5" customHeight="1">
      <c r="A358" s="64"/>
    </row>
    <row r="359" ht="40.5" customHeight="1">
      <c r="A359" s="64"/>
    </row>
    <row r="360" ht="40.5" customHeight="1">
      <c r="A360" s="64"/>
    </row>
    <row r="361" ht="40.5" customHeight="1">
      <c r="A361" s="64"/>
    </row>
    <row r="362" ht="40.5" customHeight="1">
      <c r="A362" s="64"/>
    </row>
    <row r="363" ht="40.5" customHeight="1">
      <c r="A363" s="64"/>
    </row>
    <row r="364" ht="40.5" customHeight="1">
      <c r="A364" s="64"/>
    </row>
    <row r="365" ht="40.5" customHeight="1">
      <c r="A365" s="64"/>
    </row>
    <row r="366" ht="40.5" customHeight="1">
      <c r="A366" s="64"/>
    </row>
    <row r="367" ht="40.5" customHeight="1">
      <c r="A367" s="64"/>
    </row>
    <row r="368" ht="40.5" customHeight="1">
      <c r="A368" s="64"/>
    </row>
    <row r="369" ht="40.5" customHeight="1">
      <c r="A369" s="64"/>
    </row>
    <row r="370" ht="40.5" customHeight="1">
      <c r="A370" s="64"/>
    </row>
    <row r="371" ht="40.5" customHeight="1">
      <c r="A371" s="64"/>
    </row>
    <row r="372" ht="40.5" customHeight="1">
      <c r="A372" s="64"/>
    </row>
    <row r="373" ht="40.5" customHeight="1">
      <c r="A373" s="64"/>
    </row>
    <row r="374" ht="40.5" customHeight="1">
      <c r="A374" s="64"/>
    </row>
    <row r="375" ht="40.5" customHeight="1">
      <c r="A375" s="64"/>
    </row>
    <row r="376" ht="40.5" customHeight="1">
      <c r="A376" s="64"/>
    </row>
    <row r="377" ht="40.5" customHeight="1">
      <c r="A377" s="64"/>
    </row>
    <row r="378" ht="40.5" customHeight="1">
      <c r="A378" s="64"/>
    </row>
    <row r="379" ht="40.5" customHeight="1">
      <c r="A379" s="64"/>
    </row>
    <row r="380" ht="40.5" customHeight="1">
      <c r="A380" s="64"/>
    </row>
    <row r="381" ht="40.5" customHeight="1">
      <c r="A381" s="64"/>
    </row>
    <row r="382" ht="40.5" customHeight="1">
      <c r="A382" s="64"/>
    </row>
    <row r="383" ht="40.5" customHeight="1">
      <c r="A383" s="64"/>
    </row>
    <row r="384" ht="40.5" customHeight="1">
      <c r="A384" s="64"/>
    </row>
    <row r="385" ht="40.5" customHeight="1">
      <c r="A385" s="64"/>
    </row>
    <row r="386" ht="40.5" customHeight="1">
      <c r="A386" s="64"/>
    </row>
    <row r="387" ht="40.5" customHeight="1">
      <c r="A387" s="64"/>
    </row>
    <row r="388" ht="40.5" customHeight="1">
      <c r="A388" s="64"/>
    </row>
    <row r="389" ht="40.5" customHeight="1">
      <c r="A389" s="64"/>
    </row>
    <row r="390" ht="40.5" customHeight="1">
      <c r="A390" s="64"/>
    </row>
    <row r="391" ht="40.5" customHeight="1">
      <c r="A391" s="64"/>
    </row>
    <row r="392" ht="40.5" customHeight="1">
      <c r="A392" s="64"/>
    </row>
    <row r="393" ht="40.5" customHeight="1">
      <c r="A393" s="64"/>
    </row>
    <row r="394" ht="40.5" customHeight="1">
      <c r="A394" s="64"/>
    </row>
    <row r="395" ht="40.5" customHeight="1">
      <c r="A395" s="64"/>
    </row>
    <row r="396" ht="40.5" customHeight="1">
      <c r="A396" s="64"/>
    </row>
    <row r="397" ht="40.5" customHeight="1">
      <c r="A397" s="64"/>
    </row>
    <row r="398" ht="40.5" customHeight="1">
      <c r="A398" s="64"/>
    </row>
    <row r="399" ht="40.5" customHeight="1">
      <c r="A399" s="64"/>
    </row>
    <row r="400" ht="40.5" customHeight="1">
      <c r="A400" s="64"/>
    </row>
    <row r="401" ht="40.5" customHeight="1">
      <c r="A401" s="64"/>
    </row>
    <row r="402" ht="40.5" customHeight="1">
      <c r="A402" s="64"/>
    </row>
    <row r="403" ht="40.5" customHeight="1">
      <c r="A403" s="64"/>
    </row>
    <row r="404" ht="40.5" customHeight="1">
      <c r="A404" s="64"/>
    </row>
    <row r="405" ht="40.5" customHeight="1">
      <c r="A405" s="64"/>
    </row>
    <row r="406" ht="40.5" customHeight="1">
      <c r="A406" s="64"/>
    </row>
    <row r="407" ht="40.5" customHeight="1">
      <c r="A407" s="64"/>
    </row>
    <row r="408" ht="40.5" customHeight="1">
      <c r="A408" s="64"/>
    </row>
    <row r="409" ht="40.5" customHeight="1">
      <c r="A409" s="64"/>
    </row>
    <row r="410" ht="40.5" customHeight="1">
      <c r="A410" s="64"/>
    </row>
    <row r="411" ht="40.5" customHeight="1">
      <c r="A411" s="64"/>
    </row>
    <row r="412" ht="40.5" customHeight="1">
      <c r="A412" s="64"/>
    </row>
    <row r="413" ht="40.5" customHeight="1">
      <c r="A413" s="64"/>
    </row>
    <row r="414" ht="40.5" customHeight="1">
      <c r="A414" s="64"/>
    </row>
    <row r="415" ht="40.5" customHeight="1">
      <c r="A415" s="64"/>
    </row>
    <row r="416" ht="40.5" customHeight="1">
      <c r="A416" s="64"/>
    </row>
    <row r="417" ht="40.5" customHeight="1">
      <c r="A417" s="64"/>
    </row>
    <row r="418" ht="40.5" customHeight="1">
      <c r="A418" s="64"/>
    </row>
    <row r="419" ht="40.5" customHeight="1">
      <c r="A419" s="64"/>
    </row>
    <row r="420" ht="40.5" customHeight="1">
      <c r="A420" s="64"/>
    </row>
    <row r="421" ht="40.5" customHeight="1">
      <c r="A421" s="64"/>
    </row>
    <row r="422" ht="40.5" customHeight="1">
      <c r="A422" s="64"/>
    </row>
    <row r="423" ht="40.5" customHeight="1">
      <c r="A423" s="64"/>
    </row>
    <row r="424" ht="40.5" customHeight="1">
      <c r="A424" s="64"/>
    </row>
    <row r="425" ht="40.5" customHeight="1">
      <c r="A425" s="64"/>
    </row>
    <row r="426" ht="40.5" customHeight="1">
      <c r="A426" s="64"/>
    </row>
    <row r="427" ht="40.5" customHeight="1">
      <c r="A427" s="64"/>
    </row>
    <row r="428" ht="40.5" customHeight="1">
      <c r="A428" s="64"/>
    </row>
    <row r="429" ht="40.5" customHeight="1">
      <c r="A429" s="64"/>
    </row>
    <row r="430" ht="40.5" customHeight="1">
      <c r="A430" s="64"/>
    </row>
    <row r="431" ht="40.5" customHeight="1">
      <c r="A431" s="64"/>
    </row>
    <row r="432" ht="40.5" customHeight="1">
      <c r="A432" s="64"/>
    </row>
    <row r="433" ht="40.5" customHeight="1">
      <c r="A433" s="64"/>
    </row>
    <row r="434" ht="40.5" customHeight="1">
      <c r="A434" s="64"/>
    </row>
    <row r="435" ht="40.5" customHeight="1">
      <c r="A435" s="64"/>
    </row>
    <row r="436" ht="40.5" customHeight="1">
      <c r="A436" s="64"/>
    </row>
    <row r="437" ht="40.5" customHeight="1">
      <c r="A437" s="64"/>
    </row>
    <row r="438" ht="40.5" customHeight="1">
      <c r="A438" s="64"/>
    </row>
    <row r="439" ht="40.5" customHeight="1">
      <c r="A439" s="64"/>
    </row>
    <row r="440" ht="40.5" customHeight="1">
      <c r="A440" s="64"/>
    </row>
    <row r="441" ht="40.5" customHeight="1">
      <c r="A441" s="64"/>
    </row>
    <row r="442" ht="40.5" customHeight="1">
      <c r="A442" s="64"/>
    </row>
    <row r="443" ht="40.5" customHeight="1">
      <c r="A443" s="64"/>
    </row>
    <row r="444" ht="40.5" customHeight="1">
      <c r="A444" s="64"/>
    </row>
    <row r="445" ht="40.5" customHeight="1">
      <c r="A445" s="64"/>
    </row>
    <row r="446" ht="40.5" customHeight="1">
      <c r="A446" s="64"/>
    </row>
    <row r="447" ht="40.5" customHeight="1">
      <c r="A447" s="64"/>
    </row>
    <row r="448" ht="40.5" customHeight="1">
      <c r="A448" s="64"/>
    </row>
    <row r="449" ht="40.5" customHeight="1">
      <c r="A449" s="64"/>
    </row>
    <row r="450" ht="40.5" customHeight="1">
      <c r="A450" s="64"/>
    </row>
    <row r="451" ht="40.5" customHeight="1">
      <c r="A451" s="64"/>
    </row>
    <row r="452" ht="40.5" customHeight="1">
      <c r="A452" s="64"/>
    </row>
    <row r="453" ht="40.5" customHeight="1">
      <c r="A453" s="64"/>
    </row>
    <row r="454" ht="40.5" customHeight="1">
      <c r="A454" s="64"/>
    </row>
    <row r="455" ht="40.5" customHeight="1">
      <c r="A455" s="64"/>
    </row>
    <row r="456" ht="40.5" customHeight="1">
      <c r="A456" s="64"/>
    </row>
    <row r="457" ht="40.5" customHeight="1">
      <c r="A457" s="64"/>
    </row>
    <row r="458" ht="40.5" customHeight="1">
      <c r="A458" s="64"/>
    </row>
    <row r="459" ht="40.5" customHeight="1">
      <c r="A459" s="64"/>
    </row>
    <row r="460" ht="40.5" customHeight="1">
      <c r="A460" s="64"/>
    </row>
    <row r="461" ht="40.5" customHeight="1">
      <c r="A461" s="64"/>
    </row>
    <row r="462" ht="40.5" customHeight="1">
      <c r="A462" s="64"/>
    </row>
    <row r="463" ht="40.5" customHeight="1">
      <c r="A463" s="64"/>
    </row>
    <row r="464" ht="40.5" customHeight="1">
      <c r="A464" s="64"/>
    </row>
    <row r="465" ht="40.5" customHeight="1">
      <c r="A465" s="64"/>
    </row>
    <row r="466" ht="40.5" customHeight="1">
      <c r="A466" s="64"/>
    </row>
    <row r="467" ht="40.5" customHeight="1">
      <c r="A467" s="64"/>
    </row>
    <row r="468" ht="40.5" customHeight="1">
      <c r="A468" s="64"/>
    </row>
    <row r="469" ht="40.5" customHeight="1">
      <c r="A469" s="64"/>
    </row>
    <row r="470" ht="40.5" customHeight="1">
      <c r="A470" s="64"/>
    </row>
    <row r="471" ht="40.5" customHeight="1">
      <c r="A471" s="64"/>
    </row>
    <row r="472" ht="40.5" customHeight="1">
      <c r="A472" s="64"/>
    </row>
    <row r="473" ht="40.5" customHeight="1">
      <c r="A473" s="64"/>
    </row>
    <row r="474" ht="40.5" customHeight="1">
      <c r="A474" s="64"/>
    </row>
    <row r="475" ht="40.5" customHeight="1">
      <c r="A475" s="64"/>
    </row>
    <row r="476" ht="40.5" customHeight="1">
      <c r="A476" s="64"/>
    </row>
    <row r="477" ht="40.5" customHeight="1">
      <c r="A477" s="64"/>
    </row>
    <row r="478" ht="40.5" customHeight="1">
      <c r="A478" s="64"/>
    </row>
    <row r="479" ht="40.5" customHeight="1">
      <c r="A479" s="64"/>
    </row>
    <row r="480" ht="40.5" customHeight="1">
      <c r="A480" s="64"/>
    </row>
    <row r="481" ht="40.5" customHeight="1">
      <c r="A481" s="64"/>
    </row>
    <row r="482" ht="40.5" customHeight="1">
      <c r="A482" s="64"/>
    </row>
    <row r="483" ht="40.5" customHeight="1">
      <c r="A483" s="64"/>
    </row>
    <row r="484" ht="40.5" customHeight="1">
      <c r="A484" s="64"/>
    </row>
    <row r="485" ht="40.5" customHeight="1">
      <c r="A485" s="64"/>
    </row>
    <row r="486" ht="40.5" customHeight="1">
      <c r="A486" s="64"/>
    </row>
    <row r="487" ht="40.5" customHeight="1">
      <c r="A487" s="64"/>
    </row>
    <row r="488" ht="40.5" customHeight="1">
      <c r="A488" s="64"/>
    </row>
    <row r="489" ht="40.5" customHeight="1">
      <c r="A489" s="64"/>
    </row>
    <row r="490" ht="40.5" customHeight="1">
      <c r="A490" s="64"/>
    </row>
    <row r="491" ht="40.5" customHeight="1">
      <c r="A491" s="64"/>
    </row>
    <row r="492" ht="40.5" customHeight="1">
      <c r="A492" s="64"/>
    </row>
    <row r="493" ht="40.5" customHeight="1">
      <c r="A493" s="64"/>
    </row>
    <row r="494" ht="40.5" customHeight="1">
      <c r="A494" s="64"/>
    </row>
    <row r="495" ht="40.5" customHeight="1">
      <c r="A495" s="64"/>
    </row>
    <row r="496" ht="40.5" customHeight="1">
      <c r="A496" s="64"/>
    </row>
    <row r="497" ht="40.5" customHeight="1">
      <c r="A497" s="64"/>
    </row>
    <row r="498" ht="40.5" customHeight="1">
      <c r="A498" s="64"/>
    </row>
    <row r="499" ht="40.5" customHeight="1">
      <c r="A499" s="64"/>
    </row>
    <row r="500" ht="40.5" customHeight="1">
      <c r="A500" s="64"/>
    </row>
    <row r="501" ht="40.5" customHeight="1">
      <c r="A501" s="64"/>
    </row>
    <row r="502" ht="40.5" customHeight="1">
      <c r="A502" s="64"/>
    </row>
    <row r="503" ht="40.5" customHeight="1">
      <c r="A503" s="64"/>
    </row>
    <row r="504" ht="40.5" customHeight="1">
      <c r="A504" s="64"/>
    </row>
    <row r="505" ht="40.5" customHeight="1">
      <c r="A505" s="64"/>
    </row>
    <row r="506" ht="40.5" customHeight="1">
      <c r="A506" s="64"/>
    </row>
    <row r="507" ht="40.5" customHeight="1">
      <c r="A507" s="64"/>
    </row>
    <row r="508" ht="40.5" customHeight="1">
      <c r="A508" s="64"/>
    </row>
    <row r="509" ht="40.5" customHeight="1">
      <c r="A509" s="64"/>
    </row>
    <row r="510" ht="40.5" customHeight="1">
      <c r="A510" s="64"/>
    </row>
    <row r="511" ht="40.5" customHeight="1">
      <c r="A511" s="64"/>
    </row>
    <row r="512" ht="40.5" customHeight="1">
      <c r="A512" s="64"/>
    </row>
    <row r="513" ht="40.5" customHeight="1">
      <c r="A513" s="64"/>
    </row>
    <row r="514" ht="40.5" customHeight="1">
      <c r="A514" s="64"/>
    </row>
    <row r="515" ht="40.5" customHeight="1">
      <c r="A515" s="64"/>
    </row>
    <row r="516" ht="40.5" customHeight="1">
      <c r="A516" s="64"/>
    </row>
    <row r="517" ht="40.5" customHeight="1">
      <c r="A517" s="64"/>
    </row>
    <row r="518" ht="40.5" customHeight="1">
      <c r="A518" s="64"/>
    </row>
    <row r="519" ht="40.5" customHeight="1">
      <c r="A519" s="64"/>
    </row>
    <row r="520" ht="40.5" customHeight="1">
      <c r="A520" s="64"/>
    </row>
    <row r="521" ht="40.5" customHeight="1">
      <c r="A521" s="64"/>
    </row>
    <row r="522" ht="40.5" customHeight="1">
      <c r="A522" s="64"/>
    </row>
    <row r="523" ht="40.5" customHeight="1">
      <c r="A523" s="64"/>
    </row>
    <row r="524" ht="40.5" customHeight="1">
      <c r="A524" s="64"/>
    </row>
    <row r="525" ht="40.5" customHeight="1">
      <c r="A525" s="64"/>
    </row>
    <row r="526" ht="40.5" customHeight="1">
      <c r="A526" s="64"/>
    </row>
    <row r="527" ht="40.5" customHeight="1">
      <c r="A527" s="64"/>
    </row>
    <row r="528" ht="40.5" customHeight="1">
      <c r="A528" s="64"/>
    </row>
    <row r="529" ht="40.5" customHeight="1">
      <c r="A529" s="64"/>
    </row>
    <row r="530" ht="40.5" customHeight="1">
      <c r="A530" s="64"/>
    </row>
    <row r="531" ht="40.5" customHeight="1">
      <c r="A531" s="64"/>
    </row>
    <row r="532" ht="40.5" customHeight="1">
      <c r="A532" s="64"/>
    </row>
    <row r="533" ht="40.5" customHeight="1">
      <c r="A533" s="64"/>
    </row>
    <row r="534" ht="40.5" customHeight="1">
      <c r="A534" s="64"/>
    </row>
    <row r="535" ht="40.5" customHeight="1">
      <c r="A535" s="64"/>
    </row>
    <row r="536" ht="40.5" customHeight="1">
      <c r="A536" s="64"/>
    </row>
    <row r="537" ht="40.5" customHeight="1">
      <c r="A537" s="64"/>
    </row>
    <row r="538" ht="40.5" customHeight="1">
      <c r="A538" s="64"/>
    </row>
    <row r="539" ht="40.5" customHeight="1">
      <c r="A539" s="64"/>
    </row>
    <row r="540" ht="40.5" customHeight="1">
      <c r="A540" s="64"/>
    </row>
    <row r="541" ht="40.5" customHeight="1">
      <c r="A541" s="64"/>
    </row>
    <row r="542" ht="40.5" customHeight="1">
      <c r="A542" s="64"/>
    </row>
    <row r="543" ht="40.5" customHeight="1">
      <c r="A543" s="64"/>
    </row>
    <row r="544" ht="40.5" customHeight="1">
      <c r="A544" s="64"/>
    </row>
    <row r="545" ht="40.5" customHeight="1">
      <c r="A545" s="64"/>
    </row>
    <row r="546" ht="40.5" customHeight="1">
      <c r="A546" s="64"/>
    </row>
    <row r="547" ht="40.5" customHeight="1">
      <c r="A547" s="64"/>
    </row>
    <row r="548" ht="40.5" customHeight="1">
      <c r="A548" s="64"/>
    </row>
    <row r="549" ht="40.5" customHeight="1">
      <c r="A549" s="64"/>
    </row>
    <row r="550" ht="40.5" customHeight="1">
      <c r="A550" s="64"/>
    </row>
    <row r="551" ht="40.5" customHeight="1">
      <c r="A551" s="64"/>
    </row>
    <row r="552" ht="40.5" customHeight="1">
      <c r="A552" s="64"/>
    </row>
    <row r="553" ht="40.5" customHeight="1">
      <c r="A553" s="64"/>
    </row>
    <row r="554" ht="40.5" customHeight="1">
      <c r="A554" s="64"/>
    </row>
    <row r="555" ht="40.5" customHeight="1">
      <c r="A555" s="64"/>
    </row>
    <row r="556" ht="40.5" customHeight="1">
      <c r="A556" s="64"/>
    </row>
    <row r="557" ht="40.5" customHeight="1">
      <c r="A557" s="64"/>
    </row>
    <row r="558" ht="40.5" customHeight="1">
      <c r="A558" s="64"/>
    </row>
    <row r="559" ht="40.5" customHeight="1">
      <c r="A559" s="64"/>
    </row>
    <row r="560" ht="40.5" customHeight="1">
      <c r="A560" s="64"/>
    </row>
    <row r="561" ht="40.5" customHeight="1">
      <c r="A561" s="64"/>
    </row>
    <row r="562" ht="40.5" customHeight="1">
      <c r="A562" s="64"/>
    </row>
    <row r="563" ht="40.5" customHeight="1">
      <c r="A563" s="64"/>
    </row>
    <row r="564" ht="40.5" customHeight="1">
      <c r="A564" s="64"/>
    </row>
    <row r="565" ht="40.5" customHeight="1">
      <c r="A565" s="64"/>
    </row>
    <row r="566" ht="40.5" customHeight="1">
      <c r="A566" s="64"/>
    </row>
    <row r="567" ht="40.5" customHeight="1">
      <c r="A567" s="64"/>
    </row>
    <row r="568" ht="40.5" customHeight="1">
      <c r="A568" s="64"/>
    </row>
    <row r="569" ht="40.5" customHeight="1">
      <c r="A569" s="64"/>
    </row>
    <row r="570" ht="40.5" customHeight="1">
      <c r="A570" s="64"/>
    </row>
    <row r="571" ht="40.5" customHeight="1">
      <c r="A571" s="64"/>
    </row>
    <row r="572" ht="40.5" customHeight="1">
      <c r="A572" s="64"/>
    </row>
    <row r="573" ht="40.5" customHeight="1">
      <c r="A573" s="64"/>
    </row>
    <row r="574" ht="40.5" customHeight="1">
      <c r="A574" s="64"/>
    </row>
    <row r="575" ht="40.5" customHeight="1">
      <c r="A575" s="64"/>
    </row>
    <row r="576" ht="40.5" customHeight="1">
      <c r="A576" s="64"/>
    </row>
    <row r="577" ht="40.5" customHeight="1">
      <c r="A577" s="64"/>
    </row>
    <row r="578" ht="40.5" customHeight="1">
      <c r="A578" s="64"/>
    </row>
    <row r="579" ht="40.5" customHeight="1">
      <c r="A579" s="64"/>
    </row>
    <row r="580" ht="40.5" customHeight="1">
      <c r="A580" s="64"/>
    </row>
    <row r="581" ht="40.5" customHeight="1">
      <c r="A581" s="64"/>
    </row>
    <row r="582" ht="40.5" customHeight="1">
      <c r="A582" s="64"/>
    </row>
    <row r="583" ht="40.5" customHeight="1">
      <c r="A583" s="64"/>
    </row>
    <row r="584" ht="40.5" customHeight="1">
      <c r="A584" s="64"/>
    </row>
    <row r="585" ht="40.5" customHeight="1">
      <c r="A585" s="64"/>
    </row>
    <row r="586" ht="40.5" customHeight="1">
      <c r="A586" s="64"/>
    </row>
    <row r="587" ht="40.5" customHeight="1">
      <c r="A587" s="64"/>
    </row>
    <row r="588" ht="40.5" customHeight="1">
      <c r="A588" s="64"/>
    </row>
    <row r="589" ht="40.5" customHeight="1">
      <c r="A589" s="64"/>
    </row>
    <row r="590" ht="40.5" customHeight="1">
      <c r="A590" s="64"/>
    </row>
    <row r="591" ht="40.5" customHeight="1">
      <c r="A591" s="64"/>
    </row>
    <row r="592" ht="40.5" customHeight="1">
      <c r="A592" s="64"/>
    </row>
    <row r="593" ht="40.5" customHeight="1">
      <c r="A593" s="64"/>
    </row>
    <row r="594" ht="40.5" customHeight="1">
      <c r="A594" s="64"/>
    </row>
    <row r="595" ht="40.5" customHeight="1">
      <c r="A595" s="64"/>
    </row>
    <row r="596" ht="40.5" customHeight="1">
      <c r="A596" s="64"/>
    </row>
    <row r="597" ht="40.5" customHeight="1">
      <c r="A597" s="64"/>
    </row>
    <row r="598" ht="40.5" customHeight="1">
      <c r="A598" s="64"/>
    </row>
    <row r="599" ht="40.5" customHeight="1">
      <c r="A599" s="64"/>
    </row>
    <row r="600" ht="40.5" customHeight="1">
      <c r="A600" s="64"/>
    </row>
    <row r="601" ht="40.5" customHeight="1">
      <c r="A601" s="64"/>
    </row>
    <row r="602" ht="40.5" customHeight="1">
      <c r="A602" s="64"/>
    </row>
    <row r="603" ht="40.5" customHeight="1">
      <c r="A603" s="64"/>
    </row>
    <row r="604" ht="40.5" customHeight="1">
      <c r="A604" s="64"/>
    </row>
    <row r="605" ht="40.5" customHeight="1">
      <c r="A605" s="64"/>
    </row>
    <row r="606" ht="40.5" customHeight="1">
      <c r="A606" s="64"/>
    </row>
    <row r="607" ht="40.5" customHeight="1">
      <c r="A607" s="64"/>
    </row>
    <row r="608" ht="40.5" customHeight="1">
      <c r="A608" s="64"/>
    </row>
    <row r="609" ht="40.5" customHeight="1">
      <c r="A609" s="64"/>
    </row>
    <row r="610" ht="40.5" customHeight="1">
      <c r="A610" s="64"/>
    </row>
    <row r="611" ht="40.5" customHeight="1">
      <c r="A611" s="64"/>
    </row>
    <row r="612" ht="40.5" customHeight="1">
      <c r="A612" s="64"/>
    </row>
    <row r="613" ht="40.5" customHeight="1">
      <c r="A613" s="64"/>
    </row>
    <row r="614" ht="40.5" customHeight="1">
      <c r="A614" s="64"/>
    </row>
    <row r="615" ht="40.5" customHeight="1">
      <c r="A615" s="64"/>
    </row>
    <row r="616" ht="40.5" customHeight="1">
      <c r="A616" s="64"/>
    </row>
    <row r="617" ht="40.5" customHeight="1">
      <c r="A617" s="64"/>
    </row>
    <row r="618" ht="40.5" customHeight="1">
      <c r="A618" s="64"/>
    </row>
    <row r="619" ht="40.5" customHeight="1">
      <c r="A619" s="64"/>
    </row>
    <row r="620" ht="40.5" customHeight="1">
      <c r="A620" s="64"/>
    </row>
    <row r="621" ht="40.5" customHeight="1">
      <c r="A621" s="64"/>
    </row>
    <row r="622" ht="40.5" customHeight="1">
      <c r="A622" s="64"/>
    </row>
    <row r="623" ht="40.5" customHeight="1">
      <c r="A623" s="64"/>
    </row>
    <row r="624" ht="40.5" customHeight="1">
      <c r="A624" s="64"/>
    </row>
    <row r="625" ht="40.5" customHeight="1">
      <c r="A625" s="64"/>
    </row>
    <row r="626" ht="40.5" customHeight="1">
      <c r="A626" s="64"/>
    </row>
    <row r="627" ht="40.5" customHeight="1">
      <c r="A627" s="64"/>
    </row>
    <row r="628" ht="40.5" customHeight="1">
      <c r="A628" s="64"/>
    </row>
    <row r="629" ht="40.5" customHeight="1">
      <c r="A629" s="64"/>
    </row>
    <row r="630" ht="40.5" customHeight="1">
      <c r="A630" s="64"/>
    </row>
    <row r="631" ht="40.5" customHeight="1">
      <c r="A631" s="64"/>
    </row>
    <row r="632" ht="40.5" customHeight="1">
      <c r="A632" s="64"/>
    </row>
    <row r="633" ht="40.5" customHeight="1">
      <c r="A633" s="64"/>
    </row>
    <row r="634" ht="40.5" customHeight="1">
      <c r="A634" s="64"/>
    </row>
    <row r="635" ht="40.5" customHeight="1">
      <c r="A635" s="64"/>
    </row>
    <row r="636" ht="40.5" customHeight="1">
      <c r="A636" s="64"/>
    </row>
    <row r="637" ht="40.5" customHeight="1">
      <c r="A637" s="64"/>
    </row>
    <row r="638" ht="40.5" customHeight="1">
      <c r="A638" s="64"/>
    </row>
    <row r="639" ht="40.5" customHeight="1">
      <c r="A639" s="64"/>
    </row>
    <row r="640" ht="40.5" customHeight="1">
      <c r="A640" s="64"/>
    </row>
    <row r="641" ht="40.5" customHeight="1">
      <c r="A641" s="64"/>
    </row>
    <row r="642" ht="40.5" customHeight="1">
      <c r="A642" s="64"/>
    </row>
    <row r="643" ht="40.5" customHeight="1">
      <c r="A643" s="64"/>
    </row>
    <row r="644" ht="40.5" customHeight="1">
      <c r="A644" s="64"/>
    </row>
    <row r="645" ht="40.5" customHeight="1">
      <c r="A645" s="64"/>
    </row>
    <row r="646" ht="40.5" customHeight="1">
      <c r="A646" s="64"/>
    </row>
    <row r="647" ht="40.5" customHeight="1">
      <c r="A647" s="64"/>
    </row>
    <row r="648" ht="40.5" customHeight="1">
      <c r="A648" s="64"/>
    </row>
    <row r="649" ht="40.5" customHeight="1">
      <c r="A649" s="64"/>
    </row>
    <row r="650" ht="40.5" customHeight="1">
      <c r="A650" s="64"/>
    </row>
    <row r="651" ht="40.5" customHeight="1">
      <c r="A651" s="64"/>
    </row>
    <row r="652" ht="40.5" customHeight="1">
      <c r="A652" s="64"/>
    </row>
    <row r="653" ht="40.5" customHeight="1">
      <c r="A653" s="64"/>
    </row>
    <row r="654" ht="40.5" customHeight="1">
      <c r="A654" s="64"/>
    </row>
    <row r="655" ht="40.5" customHeight="1">
      <c r="A655" s="64"/>
    </row>
    <row r="656" ht="40.5" customHeight="1">
      <c r="A656" s="64"/>
    </row>
    <row r="657" ht="40.5" customHeight="1">
      <c r="A657" s="64"/>
    </row>
    <row r="658" ht="40.5" customHeight="1">
      <c r="A658" s="64"/>
    </row>
    <row r="659" ht="40.5" customHeight="1">
      <c r="A659" s="64"/>
    </row>
    <row r="660" ht="40.5" customHeight="1">
      <c r="A660" s="64"/>
    </row>
    <row r="661" ht="40.5" customHeight="1">
      <c r="A661" s="64"/>
    </row>
    <row r="662" ht="40.5" customHeight="1">
      <c r="A662" s="64"/>
    </row>
    <row r="663" ht="40.5" customHeight="1">
      <c r="A663" s="64"/>
    </row>
    <row r="664" ht="40.5" customHeight="1">
      <c r="A664" s="64"/>
    </row>
    <row r="665" ht="40.5" customHeight="1">
      <c r="A665" s="64"/>
    </row>
    <row r="666" ht="40.5" customHeight="1">
      <c r="A666" s="64"/>
    </row>
    <row r="667" ht="40.5" customHeight="1">
      <c r="A667" s="64"/>
    </row>
    <row r="668" ht="40.5" customHeight="1">
      <c r="A668" s="64"/>
    </row>
    <row r="669" ht="40.5" customHeight="1">
      <c r="A669" s="64"/>
    </row>
    <row r="670" ht="40.5" customHeight="1">
      <c r="A670" s="64"/>
    </row>
    <row r="671" ht="40.5" customHeight="1">
      <c r="A671" s="64"/>
    </row>
    <row r="672" ht="40.5" customHeight="1">
      <c r="A672" s="64"/>
    </row>
    <row r="673" ht="40.5" customHeight="1">
      <c r="A673" s="64"/>
    </row>
    <row r="674" ht="40.5" customHeight="1">
      <c r="A674" s="64"/>
    </row>
    <row r="675" ht="40.5" customHeight="1">
      <c r="A675" s="64"/>
    </row>
    <row r="676" ht="40.5" customHeight="1">
      <c r="A676" s="64"/>
    </row>
    <row r="677" ht="40.5" customHeight="1">
      <c r="A677" s="64"/>
    </row>
    <row r="678" ht="40.5" customHeight="1">
      <c r="A678" s="64"/>
    </row>
    <row r="679" ht="40.5" customHeight="1">
      <c r="A679" s="64"/>
    </row>
    <row r="680" ht="40.5" customHeight="1">
      <c r="A680" s="64"/>
    </row>
    <row r="681" ht="40.5" customHeight="1">
      <c r="A681" s="64"/>
    </row>
    <row r="682" ht="40.5" customHeight="1">
      <c r="A682" s="64"/>
    </row>
    <row r="683" ht="40.5" customHeight="1">
      <c r="A683" s="64"/>
    </row>
    <row r="684" ht="40.5" customHeight="1">
      <c r="A684" s="64"/>
    </row>
    <row r="685" ht="40.5" customHeight="1">
      <c r="A685" s="64"/>
    </row>
    <row r="686" ht="40.5" customHeight="1">
      <c r="A686" s="64"/>
    </row>
    <row r="687" ht="40.5" customHeight="1">
      <c r="A687" s="64"/>
    </row>
    <row r="688" ht="40.5" customHeight="1">
      <c r="A688" s="64"/>
    </row>
    <row r="689" ht="40.5" customHeight="1">
      <c r="A689" s="64"/>
    </row>
    <row r="690" ht="40.5" customHeight="1">
      <c r="A690" s="64"/>
    </row>
    <row r="691" ht="40.5" customHeight="1">
      <c r="A691" s="64"/>
    </row>
    <row r="692" ht="40.5" customHeight="1">
      <c r="A692" s="64"/>
    </row>
    <row r="693" ht="40.5" customHeight="1">
      <c r="A693" s="64"/>
    </row>
    <row r="694" ht="40.5" customHeight="1">
      <c r="A694" s="64"/>
    </row>
    <row r="695" ht="40.5" customHeight="1">
      <c r="A695" s="64"/>
    </row>
    <row r="696" ht="40.5" customHeight="1">
      <c r="A696" s="64"/>
    </row>
    <row r="697" ht="40.5" customHeight="1">
      <c r="A697" s="64"/>
    </row>
    <row r="698" ht="40.5" customHeight="1">
      <c r="A698" s="64"/>
    </row>
    <row r="699" ht="40.5" customHeight="1">
      <c r="A699" s="64"/>
    </row>
    <row r="700" ht="40.5" customHeight="1">
      <c r="A700" s="64"/>
    </row>
    <row r="701" ht="40.5" customHeight="1">
      <c r="A701" s="64"/>
    </row>
    <row r="702" ht="40.5" customHeight="1">
      <c r="A702" s="64"/>
    </row>
    <row r="703" ht="40.5" customHeight="1">
      <c r="A703" s="64"/>
    </row>
    <row r="704" ht="40.5" customHeight="1">
      <c r="A704" s="64"/>
    </row>
    <row r="705" ht="40.5" customHeight="1">
      <c r="A705" s="64"/>
    </row>
    <row r="706" ht="40.5" customHeight="1">
      <c r="A706" s="64"/>
    </row>
    <row r="707" ht="40.5" customHeight="1">
      <c r="A707" s="64"/>
    </row>
    <row r="708" ht="40.5" customHeight="1">
      <c r="A708" s="64"/>
    </row>
    <row r="709" ht="40.5" customHeight="1">
      <c r="A709" s="64"/>
    </row>
    <row r="710" ht="40.5" customHeight="1">
      <c r="A710" s="64"/>
    </row>
    <row r="711" ht="40.5" customHeight="1">
      <c r="A711" s="64"/>
    </row>
    <row r="712" ht="40.5" customHeight="1">
      <c r="A712" s="64"/>
    </row>
    <row r="713" ht="40.5" customHeight="1">
      <c r="A713" s="64"/>
    </row>
    <row r="714" ht="40.5" customHeight="1">
      <c r="A714" s="64"/>
    </row>
    <row r="715" ht="40.5" customHeight="1">
      <c r="A715" s="64"/>
    </row>
    <row r="716" ht="40.5" customHeight="1">
      <c r="A716" s="64"/>
    </row>
    <row r="717" ht="40.5" customHeight="1">
      <c r="A717" s="64"/>
    </row>
    <row r="718" ht="40.5" customHeight="1">
      <c r="A718" s="64"/>
    </row>
    <row r="719" ht="40.5" customHeight="1">
      <c r="A719" s="64"/>
    </row>
    <row r="720" ht="40.5" customHeight="1">
      <c r="A720" s="64"/>
    </row>
    <row r="721" ht="40.5" customHeight="1">
      <c r="A721" s="64"/>
    </row>
    <row r="722" ht="40.5" customHeight="1">
      <c r="A722" s="64"/>
    </row>
    <row r="723" ht="40.5" customHeight="1">
      <c r="A723" s="64"/>
    </row>
    <row r="724" ht="40.5" customHeight="1">
      <c r="A724" s="64"/>
    </row>
    <row r="725" ht="40.5" customHeight="1">
      <c r="A725" s="64"/>
    </row>
    <row r="726" ht="40.5" customHeight="1">
      <c r="A726" s="64"/>
    </row>
    <row r="727" ht="40.5" customHeight="1">
      <c r="A727" s="64"/>
    </row>
    <row r="728" ht="40.5" customHeight="1">
      <c r="A728" s="64"/>
    </row>
    <row r="729" ht="40.5" customHeight="1">
      <c r="A729" s="64"/>
    </row>
    <row r="730" ht="40.5" customHeight="1">
      <c r="A730" s="64"/>
    </row>
    <row r="731" ht="40.5" customHeight="1">
      <c r="A731" s="64"/>
    </row>
    <row r="732" ht="40.5" customHeight="1">
      <c r="A732" s="64"/>
    </row>
    <row r="733" ht="40.5" customHeight="1">
      <c r="A733" s="64"/>
    </row>
    <row r="734" ht="40.5" customHeight="1">
      <c r="A734" s="64"/>
    </row>
    <row r="735" ht="40.5" customHeight="1">
      <c r="A735" s="64"/>
    </row>
    <row r="736" ht="40.5" customHeight="1">
      <c r="A736" s="64"/>
    </row>
    <row r="737" ht="40.5" customHeight="1">
      <c r="A737" s="64"/>
    </row>
    <row r="738" ht="40.5" customHeight="1">
      <c r="A738" s="64"/>
    </row>
    <row r="739" ht="40.5" customHeight="1">
      <c r="A739" s="64"/>
    </row>
    <row r="740" ht="40.5" customHeight="1">
      <c r="A740" s="64"/>
    </row>
    <row r="741" ht="40.5" customHeight="1">
      <c r="A741" s="64"/>
    </row>
    <row r="742" ht="40.5" customHeight="1">
      <c r="A742" s="64"/>
    </row>
    <row r="743" ht="40.5" customHeight="1">
      <c r="A743" s="64"/>
    </row>
    <row r="744" ht="40.5" customHeight="1">
      <c r="A744" s="64"/>
    </row>
    <row r="745" ht="40.5" customHeight="1">
      <c r="A745" s="64"/>
    </row>
    <row r="746" ht="40.5" customHeight="1">
      <c r="A746" s="64"/>
    </row>
    <row r="747" ht="40.5" customHeight="1">
      <c r="A747" s="64"/>
    </row>
    <row r="748" ht="40.5" customHeight="1">
      <c r="A748" s="64"/>
    </row>
    <row r="749" ht="40.5" customHeight="1">
      <c r="A749" s="64"/>
    </row>
    <row r="750" ht="40.5" customHeight="1">
      <c r="A750" s="64"/>
    </row>
    <row r="751" ht="40.5" customHeight="1">
      <c r="A751" s="64"/>
    </row>
    <row r="752" ht="40.5" customHeight="1">
      <c r="A752" s="64"/>
    </row>
    <row r="753" ht="40.5" customHeight="1">
      <c r="A753" s="64"/>
    </row>
    <row r="754" ht="40.5" customHeight="1">
      <c r="A754" s="64"/>
    </row>
    <row r="755" ht="40.5" customHeight="1">
      <c r="A755" s="64"/>
    </row>
    <row r="756" ht="40.5" customHeight="1">
      <c r="A756" s="64"/>
    </row>
    <row r="757" ht="40.5" customHeight="1">
      <c r="A757" s="64"/>
    </row>
    <row r="758" ht="40.5" customHeight="1">
      <c r="A758" s="64"/>
    </row>
    <row r="759" ht="40.5" customHeight="1">
      <c r="A759" s="64"/>
    </row>
    <row r="760" ht="40.5" customHeight="1">
      <c r="A760" s="64"/>
    </row>
    <row r="761" ht="40.5" customHeight="1">
      <c r="A761" s="64"/>
    </row>
    <row r="762" ht="40.5" customHeight="1">
      <c r="A762" s="64"/>
    </row>
    <row r="763" ht="40.5" customHeight="1">
      <c r="A763" s="64"/>
    </row>
    <row r="764" ht="40.5" customHeight="1">
      <c r="A764" s="64"/>
    </row>
    <row r="765" ht="40.5" customHeight="1">
      <c r="A765" s="64"/>
    </row>
    <row r="766" ht="40.5" customHeight="1">
      <c r="A766" s="64"/>
    </row>
    <row r="767" ht="40.5" customHeight="1">
      <c r="A767" s="64"/>
    </row>
    <row r="768" ht="40.5" customHeight="1">
      <c r="A768" s="64"/>
    </row>
    <row r="769" ht="40.5" customHeight="1">
      <c r="A769" s="64"/>
    </row>
    <row r="770" ht="40.5" customHeight="1">
      <c r="A770" s="64"/>
    </row>
    <row r="771" ht="40.5" customHeight="1">
      <c r="A771" s="64"/>
    </row>
    <row r="772" ht="40.5" customHeight="1">
      <c r="A772" s="64"/>
    </row>
    <row r="773" ht="40.5" customHeight="1">
      <c r="A773" s="64"/>
    </row>
    <row r="774" ht="40.5" customHeight="1">
      <c r="A774" s="64"/>
    </row>
    <row r="775" ht="40.5" customHeight="1">
      <c r="A775" s="64"/>
    </row>
    <row r="776" ht="40.5" customHeight="1">
      <c r="A776" s="64"/>
    </row>
    <row r="777" ht="40.5" customHeight="1">
      <c r="A777" s="64"/>
    </row>
    <row r="778" ht="40.5" customHeight="1">
      <c r="A778" s="64"/>
    </row>
    <row r="779" ht="40.5" customHeight="1">
      <c r="A779" s="64"/>
    </row>
    <row r="780" ht="40.5" customHeight="1">
      <c r="A780" s="64"/>
    </row>
    <row r="781" ht="40.5" customHeight="1">
      <c r="A781" s="64"/>
    </row>
    <row r="782" ht="40.5" customHeight="1">
      <c r="A782" s="64"/>
    </row>
    <row r="783" ht="40.5" customHeight="1">
      <c r="A783" s="64"/>
    </row>
    <row r="784" ht="40.5" customHeight="1">
      <c r="A784" s="64"/>
    </row>
    <row r="785" ht="40.5" customHeight="1">
      <c r="A785" s="64"/>
    </row>
    <row r="786" ht="40.5" customHeight="1">
      <c r="A786" s="64"/>
    </row>
    <row r="787" ht="40.5" customHeight="1">
      <c r="A787" s="64"/>
    </row>
    <row r="788" ht="40.5" customHeight="1">
      <c r="A788" s="64"/>
    </row>
    <row r="789" ht="40.5" customHeight="1">
      <c r="A789" s="64"/>
    </row>
    <row r="790" ht="40.5" customHeight="1">
      <c r="A790" s="64"/>
    </row>
    <row r="791" ht="40.5" customHeight="1">
      <c r="A791" s="64"/>
    </row>
    <row r="792" ht="40.5" customHeight="1">
      <c r="A792" s="64"/>
    </row>
    <row r="793" ht="40.5" customHeight="1">
      <c r="A793" s="64"/>
    </row>
    <row r="794" ht="40.5" customHeight="1">
      <c r="A794" s="64"/>
    </row>
    <row r="795" ht="40.5" customHeight="1">
      <c r="A795" s="64"/>
    </row>
    <row r="796" ht="40.5" customHeight="1">
      <c r="A796" s="64"/>
    </row>
    <row r="797" ht="40.5" customHeight="1">
      <c r="A797" s="64"/>
    </row>
    <row r="798" ht="40.5" customHeight="1">
      <c r="A798" s="64"/>
    </row>
    <row r="799" ht="40.5" customHeight="1">
      <c r="A799" s="64"/>
    </row>
    <row r="800" ht="40.5" customHeight="1">
      <c r="A800" s="64"/>
    </row>
    <row r="801" ht="40.5" customHeight="1">
      <c r="A801" s="64"/>
    </row>
    <row r="802" ht="40.5" customHeight="1">
      <c r="A802" s="64"/>
    </row>
    <row r="803" ht="40.5" customHeight="1">
      <c r="A803" s="64"/>
    </row>
    <row r="804" ht="40.5" customHeight="1">
      <c r="A804" s="64"/>
    </row>
    <row r="805" ht="40.5" customHeight="1">
      <c r="A805" s="64"/>
    </row>
    <row r="806" ht="40.5" customHeight="1">
      <c r="A806" s="64"/>
    </row>
    <row r="807" ht="40.5" customHeight="1">
      <c r="A807" s="64"/>
    </row>
    <row r="808" ht="40.5" customHeight="1">
      <c r="A808" s="64"/>
    </row>
    <row r="809" ht="40.5" customHeight="1">
      <c r="A809" s="64"/>
    </row>
    <row r="810" ht="40.5" customHeight="1">
      <c r="A810" s="64"/>
    </row>
    <row r="811" ht="40.5" customHeight="1">
      <c r="A811" s="64"/>
    </row>
    <row r="812" ht="40.5" customHeight="1">
      <c r="A812" s="64"/>
    </row>
    <row r="813" ht="40.5" customHeight="1">
      <c r="A813" s="64"/>
    </row>
    <row r="814" ht="40.5" customHeight="1">
      <c r="A814" s="64"/>
    </row>
    <row r="815" ht="40.5" customHeight="1">
      <c r="A815" s="64"/>
    </row>
    <row r="816" ht="40.5" customHeight="1">
      <c r="A816" s="64"/>
    </row>
    <row r="817" ht="40.5" customHeight="1">
      <c r="A817" s="64"/>
    </row>
    <row r="818" ht="40.5" customHeight="1">
      <c r="A818" s="64"/>
    </row>
    <row r="819" ht="40.5" customHeight="1">
      <c r="A819" s="64"/>
    </row>
    <row r="820" ht="40.5" customHeight="1">
      <c r="A820" s="64"/>
    </row>
    <row r="821" ht="40.5" customHeight="1">
      <c r="A821" s="64"/>
    </row>
    <row r="822" ht="40.5" customHeight="1">
      <c r="A822" s="64"/>
    </row>
    <row r="823" ht="40.5" customHeight="1">
      <c r="A823" s="64"/>
    </row>
    <row r="824" ht="40.5" customHeight="1">
      <c r="A824" s="64"/>
    </row>
    <row r="825" ht="40.5" customHeight="1">
      <c r="A825" s="64"/>
    </row>
    <row r="826" ht="40.5" customHeight="1">
      <c r="A826" s="64"/>
    </row>
    <row r="827" ht="40.5" customHeight="1">
      <c r="A827" s="64"/>
    </row>
    <row r="828" ht="40.5" customHeight="1">
      <c r="A828" s="64"/>
    </row>
    <row r="829" ht="40.5" customHeight="1">
      <c r="A829" s="64"/>
    </row>
    <row r="830" ht="40.5" customHeight="1">
      <c r="A830" s="64"/>
    </row>
    <row r="831" ht="40.5" customHeight="1">
      <c r="A831" s="64"/>
    </row>
    <row r="832" ht="40.5" customHeight="1">
      <c r="A832" s="64"/>
    </row>
    <row r="833" ht="40.5" customHeight="1">
      <c r="A833" s="64"/>
    </row>
    <row r="834" ht="40.5" customHeight="1">
      <c r="A834" s="64"/>
    </row>
    <row r="835" ht="40.5" customHeight="1">
      <c r="A835" s="64"/>
    </row>
    <row r="836" ht="40.5" customHeight="1">
      <c r="A836" s="64"/>
    </row>
    <row r="837" ht="40.5" customHeight="1">
      <c r="A837" s="64"/>
    </row>
    <row r="838" ht="40.5" customHeight="1">
      <c r="A838" s="64"/>
    </row>
    <row r="839" ht="40.5" customHeight="1">
      <c r="A839" s="64"/>
    </row>
    <row r="840" ht="40.5" customHeight="1">
      <c r="A840" s="64"/>
    </row>
    <row r="841" ht="40.5" customHeight="1">
      <c r="A841" s="64"/>
    </row>
    <row r="842" ht="40.5" customHeight="1">
      <c r="A842" s="64"/>
    </row>
    <row r="843" ht="40.5" customHeight="1">
      <c r="A843" s="64"/>
    </row>
    <row r="844" ht="40.5" customHeight="1">
      <c r="A844" s="64"/>
    </row>
    <row r="845" ht="40.5" customHeight="1">
      <c r="A845" s="64"/>
    </row>
    <row r="846" ht="40.5" customHeight="1">
      <c r="A846" s="64"/>
    </row>
    <row r="847" ht="40.5" customHeight="1">
      <c r="A847" s="64"/>
    </row>
    <row r="848" ht="40.5" customHeight="1">
      <c r="A848" s="64"/>
    </row>
    <row r="849" ht="40.5" customHeight="1">
      <c r="A849" s="64"/>
    </row>
    <row r="850" ht="40.5" customHeight="1">
      <c r="A850" s="64"/>
    </row>
    <row r="851" ht="40.5" customHeight="1">
      <c r="A851" s="64"/>
    </row>
    <row r="852" ht="40.5" customHeight="1">
      <c r="A852" s="64"/>
    </row>
    <row r="853" ht="40.5" customHeight="1">
      <c r="A853" s="64"/>
    </row>
    <row r="854" ht="40.5" customHeight="1">
      <c r="A854" s="64"/>
    </row>
    <row r="855" ht="40.5" customHeight="1">
      <c r="A855" s="64"/>
    </row>
    <row r="856" ht="40.5" customHeight="1">
      <c r="A856" s="64"/>
    </row>
    <row r="857" ht="40.5" customHeight="1">
      <c r="A857" s="64"/>
    </row>
    <row r="858" ht="40.5" customHeight="1">
      <c r="A858" s="64"/>
    </row>
    <row r="859" ht="40.5" customHeight="1">
      <c r="A859" s="64"/>
    </row>
    <row r="860" ht="40.5" customHeight="1">
      <c r="A860" s="64"/>
    </row>
    <row r="861" ht="40.5" customHeight="1">
      <c r="A861" s="64"/>
    </row>
    <row r="862" ht="40.5" customHeight="1">
      <c r="A862" s="64"/>
    </row>
    <row r="863" ht="40.5" customHeight="1">
      <c r="A863" s="64"/>
    </row>
    <row r="864" ht="40.5" customHeight="1">
      <c r="A864" s="64"/>
    </row>
    <row r="865" ht="40.5" customHeight="1">
      <c r="A865" s="64"/>
    </row>
    <row r="866" ht="40.5" customHeight="1">
      <c r="A866" s="64"/>
    </row>
    <row r="867" ht="40.5" customHeight="1">
      <c r="A867" s="64"/>
    </row>
    <row r="868" ht="40.5" customHeight="1">
      <c r="A868" s="64"/>
    </row>
    <row r="869" ht="40.5" customHeight="1">
      <c r="A869" s="64"/>
    </row>
    <row r="870" ht="40.5" customHeight="1">
      <c r="A870" s="64"/>
    </row>
    <row r="871" ht="40.5" customHeight="1">
      <c r="A871" s="64"/>
    </row>
    <row r="872" ht="40.5" customHeight="1">
      <c r="A872" s="64"/>
    </row>
    <row r="873" ht="40.5" customHeight="1">
      <c r="A873" s="64"/>
    </row>
    <row r="874" ht="40.5" customHeight="1">
      <c r="A874" s="64"/>
    </row>
    <row r="875" ht="40.5" customHeight="1">
      <c r="A875" s="64"/>
    </row>
    <row r="876" ht="40.5" customHeight="1">
      <c r="A876" s="64"/>
    </row>
    <row r="877" ht="40.5" customHeight="1">
      <c r="A877" s="64"/>
    </row>
    <row r="878" ht="40.5" customHeight="1">
      <c r="A878" s="64"/>
    </row>
    <row r="879" ht="40.5" customHeight="1">
      <c r="A879" s="64"/>
    </row>
    <row r="880" ht="40.5" customHeight="1">
      <c r="A880" s="64"/>
    </row>
    <row r="881" ht="40.5" customHeight="1">
      <c r="A881" s="64"/>
    </row>
    <row r="882" ht="40.5" customHeight="1">
      <c r="A882" s="64"/>
    </row>
    <row r="883" ht="40.5" customHeight="1">
      <c r="A883" s="64"/>
    </row>
    <row r="884" ht="40.5" customHeight="1">
      <c r="A884" s="64"/>
    </row>
    <row r="885" ht="40.5" customHeight="1">
      <c r="A885" s="64"/>
    </row>
    <row r="886" ht="40.5" customHeight="1">
      <c r="A886" s="64"/>
    </row>
    <row r="887" ht="40.5" customHeight="1">
      <c r="A887" s="64"/>
    </row>
    <row r="888" ht="40.5" customHeight="1">
      <c r="A888" s="64"/>
    </row>
    <row r="889" ht="40.5" customHeight="1">
      <c r="A889" s="64"/>
    </row>
    <row r="890" ht="40.5" customHeight="1">
      <c r="A890" s="64"/>
    </row>
    <row r="891" ht="40.5" customHeight="1">
      <c r="A891" s="64"/>
    </row>
    <row r="892" ht="40.5" customHeight="1">
      <c r="A892" s="64"/>
    </row>
    <row r="893" ht="40.5" customHeight="1">
      <c r="A893" s="64"/>
    </row>
    <row r="894" ht="40.5" customHeight="1">
      <c r="A894" s="64"/>
    </row>
    <row r="895" ht="40.5" customHeight="1">
      <c r="A895" s="64"/>
    </row>
    <row r="896" ht="40.5" customHeight="1">
      <c r="A896" s="64"/>
    </row>
    <row r="897" ht="40.5" customHeight="1">
      <c r="A897" s="64"/>
    </row>
    <row r="898" ht="40.5" customHeight="1">
      <c r="A898" s="64"/>
    </row>
    <row r="899" ht="40.5" customHeight="1">
      <c r="A899" s="64"/>
    </row>
    <row r="900" ht="40.5" customHeight="1">
      <c r="A900" s="64"/>
    </row>
    <row r="901" ht="40.5" customHeight="1">
      <c r="A901" s="64"/>
    </row>
    <row r="902" ht="40.5" customHeight="1">
      <c r="A902" s="64"/>
    </row>
    <row r="903" ht="40.5" customHeight="1">
      <c r="A903" s="64"/>
    </row>
    <row r="904" ht="40.5" customHeight="1">
      <c r="A904" s="64"/>
    </row>
    <row r="905" ht="40.5" customHeight="1">
      <c r="A905" s="64"/>
    </row>
    <row r="906" ht="40.5" customHeight="1">
      <c r="A906" s="64"/>
    </row>
    <row r="907" ht="40.5" customHeight="1">
      <c r="A907" s="64"/>
    </row>
    <row r="908" ht="40.5" customHeight="1">
      <c r="A908" s="64"/>
    </row>
    <row r="909" ht="40.5" customHeight="1">
      <c r="A909" s="64"/>
    </row>
    <row r="910" ht="40.5" customHeight="1">
      <c r="A910" s="64"/>
    </row>
    <row r="911" ht="40.5" customHeight="1">
      <c r="A911" s="64"/>
    </row>
    <row r="912" ht="40.5" customHeight="1">
      <c r="A912" s="64"/>
    </row>
    <row r="913" ht="40.5" customHeight="1">
      <c r="A913" s="64"/>
    </row>
    <row r="914" ht="40.5" customHeight="1">
      <c r="A914" s="64"/>
    </row>
    <row r="915" ht="40.5" customHeight="1">
      <c r="A915" s="64"/>
    </row>
    <row r="916" ht="40.5" customHeight="1">
      <c r="A916" s="64"/>
    </row>
    <row r="917" ht="40.5" customHeight="1">
      <c r="A917" s="64"/>
    </row>
    <row r="918" ht="40.5" customHeight="1">
      <c r="A918" s="64"/>
    </row>
    <row r="919" ht="40.5" customHeight="1">
      <c r="A919" s="64"/>
    </row>
    <row r="920" ht="40.5" customHeight="1">
      <c r="A920" s="64"/>
    </row>
    <row r="921" ht="40.5" customHeight="1">
      <c r="A921" s="64"/>
    </row>
    <row r="922" ht="40.5" customHeight="1">
      <c r="A922" s="64"/>
    </row>
    <row r="923" ht="40.5" customHeight="1">
      <c r="A923" s="64"/>
    </row>
    <row r="924" ht="40.5" customHeight="1">
      <c r="A924" s="64"/>
    </row>
    <row r="925" ht="40.5" customHeight="1">
      <c r="A925" s="64"/>
    </row>
    <row r="926" ht="40.5" customHeight="1">
      <c r="A926" s="64"/>
    </row>
    <row r="927" ht="40.5" customHeight="1">
      <c r="A927" s="64"/>
    </row>
    <row r="928" ht="40.5" customHeight="1">
      <c r="A928" s="64"/>
    </row>
    <row r="929" ht="40.5" customHeight="1">
      <c r="A929" s="64"/>
    </row>
    <row r="930" ht="40.5" customHeight="1">
      <c r="A930" s="64"/>
    </row>
    <row r="931" ht="40.5" customHeight="1">
      <c r="A931" s="64"/>
    </row>
    <row r="932" ht="40.5" customHeight="1">
      <c r="A932" s="64"/>
    </row>
    <row r="933" ht="40.5" customHeight="1">
      <c r="A933" s="64"/>
    </row>
    <row r="934" ht="40.5" customHeight="1">
      <c r="A934" s="64"/>
    </row>
    <row r="935" ht="40.5" customHeight="1">
      <c r="A935" s="64"/>
    </row>
    <row r="936" ht="40.5" customHeight="1">
      <c r="A936" s="64"/>
    </row>
    <row r="937" ht="40.5" customHeight="1">
      <c r="A937" s="64"/>
    </row>
    <row r="938" ht="40.5" customHeight="1">
      <c r="A938" s="64"/>
    </row>
    <row r="939" ht="40.5" customHeight="1">
      <c r="A939" s="64"/>
    </row>
    <row r="940" ht="40.5" customHeight="1">
      <c r="A940" s="64"/>
    </row>
    <row r="941" ht="40.5" customHeight="1">
      <c r="A941" s="64"/>
    </row>
    <row r="942" ht="40.5" customHeight="1">
      <c r="A942" s="64"/>
    </row>
    <row r="943" ht="40.5" customHeight="1">
      <c r="A943" s="64"/>
    </row>
    <row r="944" ht="40.5" customHeight="1">
      <c r="A944" s="64"/>
    </row>
    <row r="945" ht="40.5" customHeight="1">
      <c r="A945" s="64"/>
    </row>
    <row r="946" ht="40.5" customHeight="1">
      <c r="A946" s="64"/>
    </row>
    <row r="947" ht="40.5" customHeight="1">
      <c r="A947" s="64"/>
    </row>
    <row r="948" ht="40.5" customHeight="1">
      <c r="A948" s="64"/>
    </row>
    <row r="949" ht="40.5" customHeight="1">
      <c r="A949" s="64"/>
    </row>
    <row r="950" ht="40.5" customHeight="1">
      <c r="A950" s="64"/>
    </row>
    <row r="951" ht="40.5" customHeight="1">
      <c r="A951" s="64"/>
    </row>
    <row r="952" ht="40.5" customHeight="1">
      <c r="A952" s="64"/>
    </row>
    <row r="953" ht="40.5" customHeight="1">
      <c r="A953" s="64"/>
    </row>
    <row r="954" ht="40.5" customHeight="1">
      <c r="A954" s="64"/>
    </row>
    <row r="955" ht="40.5" customHeight="1">
      <c r="A955" s="64"/>
    </row>
    <row r="956" ht="40.5" customHeight="1">
      <c r="A956" s="64"/>
    </row>
    <row r="957" ht="40.5" customHeight="1">
      <c r="A957" s="64"/>
    </row>
    <row r="958" ht="40.5" customHeight="1">
      <c r="A958" s="64"/>
    </row>
    <row r="959" ht="40.5" customHeight="1">
      <c r="A959" s="64"/>
    </row>
    <row r="960" ht="40.5" customHeight="1">
      <c r="A960" s="64"/>
    </row>
    <row r="961" ht="40.5" customHeight="1">
      <c r="A961" s="64"/>
    </row>
    <row r="962" ht="40.5" customHeight="1">
      <c r="A962" s="64"/>
    </row>
    <row r="963" ht="40.5" customHeight="1">
      <c r="A963" s="64"/>
    </row>
    <row r="964" ht="40.5" customHeight="1">
      <c r="A964" s="64"/>
    </row>
    <row r="965" ht="40.5" customHeight="1">
      <c r="A965" s="64"/>
    </row>
    <row r="966" ht="40.5" customHeight="1">
      <c r="A966" s="64"/>
    </row>
    <row r="967" ht="40.5" customHeight="1">
      <c r="A967" s="64"/>
    </row>
    <row r="968" ht="40.5" customHeight="1">
      <c r="A968" s="64"/>
    </row>
    <row r="969" ht="40.5" customHeight="1">
      <c r="A969" s="64"/>
    </row>
    <row r="970" ht="40.5" customHeight="1">
      <c r="A970" s="64"/>
    </row>
    <row r="971" ht="40.5" customHeight="1">
      <c r="A971" s="64"/>
    </row>
    <row r="972" ht="40.5" customHeight="1">
      <c r="A972" s="64"/>
    </row>
    <row r="973" ht="40.5" customHeight="1">
      <c r="A973" s="64"/>
    </row>
    <row r="974" ht="40.5" customHeight="1">
      <c r="A974" s="64"/>
    </row>
    <row r="975" ht="40.5" customHeight="1">
      <c r="A975" s="64"/>
    </row>
    <row r="976" ht="40.5" customHeight="1">
      <c r="A976" s="64"/>
    </row>
    <row r="977" ht="40.5" customHeight="1">
      <c r="A977" s="64"/>
    </row>
    <row r="978" ht="40.5" customHeight="1">
      <c r="A978" s="64"/>
    </row>
    <row r="979" ht="40.5" customHeight="1">
      <c r="A979" s="64"/>
    </row>
    <row r="980" ht="40.5" customHeight="1">
      <c r="A980" s="64"/>
    </row>
    <row r="981" ht="40.5" customHeight="1">
      <c r="A981" s="64"/>
    </row>
    <row r="982" ht="40.5" customHeight="1">
      <c r="A982" s="64"/>
    </row>
    <row r="983" ht="40.5" customHeight="1">
      <c r="A983" s="64"/>
    </row>
    <row r="984" ht="40.5" customHeight="1">
      <c r="A984" s="64"/>
    </row>
    <row r="985" ht="40.5" customHeight="1">
      <c r="A985" s="64"/>
    </row>
    <row r="986" ht="40.5" customHeight="1">
      <c r="A986" s="64"/>
    </row>
    <row r="987" ht="40.5" customHeight="1">
      <c r="A987" s="64"/>
    </row>
    <row r="988" ht="40.5" customHeight="1">
      <c r="A988" s="64"/>
    </row>
    <row r="989" ht="40.5" customHeight="1">
      <c r="A989" s="64"/>
    </row>
    <row r="990" ht="40.5" customHeight="1">
      <c r="A990" s="64"/>
    </row>
    <row r="991" ht="40.5" customHeight="1">
      <c r="A991" s="64"/>
    </row>
    <row r="992" ht="40.5" customHeight="1">
      <c r="A992" s="64"/>
    </row>
    <row r="993" ht="40.5" customHeight="1">
      <c r="A993" s="64"/>
    </row>
    <row r="994" ht="40.5" customHeight="1">
      <c r="A994" s="64"/>
    </row>
    <row r="995" ht="40.5" customHeight="1">
      <c r="A995" s="64"/>
    </row>
    <row r="996" ht="40.5" customHeight="1">
      <c r="A996" s="64"/>
    </row>
    <row r="997" ht="40.5" customHeight="1">
      <c r="A997" s="64"/>
    </row>
    <row r="998" ht="40.5" customHeight="1">
      <c r="A998" s="64"/>
    </row>
    <row r="999" ht="40.5" customHeight="1">
      <c r="A999" s="64"/>
    </row>
    <row r="1000" ht="40.5" customHeight="1">
      <c r="A1000" s="64"/>
    </row>
    <row r="1001" ht="40.5" customHeight="1">
      <c r="A1001" s="64"/>
    </row>
  </sheetData>
  <dataValidations>
    <dataValidation type="custom" allowBlank="1" showDropDown="1" sqref="I3:I63 K3:K63">
      <formula1>AND(ISNUMBER(I3),(NOT(OR(NOT(ISERROR(DATEVALUE(I3))), AND(ISNUMBER(I3), LEFT(CELL("format", I3))="D")))))</formula1>
    </dataValidation>
  </dataValidations>
  <hyperlinks>
    <hyperlink r:id="rId4" location="supplementary-material" ref="AA4"/>
    <hyperlink r:id="rId5" ref="Q5"/>
    <hyperlink r:id="rId6" ref="AA5"/>
    <hyperlink r:id="rId7" ref="AA6"/>
    <hyperlink r:id="rId8" ref="AA7"/>
    <hyperlink r:id="rId9" ref="AA8"/>
    <hyperlink r:id="rId10" ref="AA9"/>
    <hyperlink r:id="rId11" ref="AA10"/>
    <hyperlink r:id="rId12" ref="AA11"/>
    <hyperlink r:id="rId13" ref="Q12"/>
    <hyperlink r:id="rId14" ref="AA12"/>
    <hyperlink r:id="rId15" ref="AA13"/>
    <hyperlink r:id="rId16" location="ref-CR54" ref="AB13"/>
    <hyperlink r:id="rId17" ref="Z15"/>
    <hyperlink r:id="rId18" ref="AA15"/>
    <hyperlink r:id="rId19" ref="Z16"/>
    <hyperlink r:id="rId20" ref="Z17"/>
    <hyperlink r:id="rId21" ref="AA17"/>
    <hyperlink r:id="rId22" ref="AA18"/>
    <hyperlink r:id="rId23" ref="AA19"/>
    <hyperlink r:id="rId24" ref="AB20"/>
    <hyperlink r:id="rId25" ref="AA22"/>
    <hyperlink r:id="rId26" ref="AA23"/>
    <hyperlink r:id="rId27" ref="AA25"/>
    <hyperlink r:id="rId28" ref="AA26"/>
    <hyperlink r:id="rId29" ref="AA27"/>
    <hyperlink r:id="rId30" ref="AA28"/>
    <hyperlink r:id="rId31" ref="AA29"/>
    <hyperlink r:id="rId32" ref="Q30"/>
    <hyperlink r:id="rId33" ref="Z30"/>
    <hyperlink r:id="rId34" ref="AA30"/>
    <hyperlink r:id="rId35" ref="Q31"/>
    <hyperlink r:id="rId36" ref="AA31"/>
    <hyperlink r:id="rId37" ref="AA32"/>
    <hyperlink r:id="rId38" ref="AA33"/>
    <hyperlink r:id="rId39" ref="AA34"/>
    <hyperlink r:id="rId40" location="supplementary-material" ref="AA35"/>
    <hyperlink r:id="rId41" ref="AA37"/>
    <hyperlink r:id="rId42" ref="Z38"/>
    <hyperlink r:id="rId43" ref="AA38"/>
    <hyperlink r:id="rId44" ref="AA39"/>
    <hyperlink r:id="rId45" ref="AA40"/>
    <hyperlink r:id="rId46" ref="Z41"/>
    <hyperlink r:id="rId47" ref="AA41"/>
    <hyperlink r:id="rId48" ref="AA42"/>
    <hyperlink r:id="rId49" ref="AA43"/>
    <hyperlink r:id="rId50" ref="AA45"/>
    <hyperlink r:id="rId51" ref="AA46"/>
    <hyperlink r:id="rId52" ref="AA47"/>
    <hyperlink r:id="rId53" ref="AA48"/>
    <hyperlink r:id="rId54" ref="AA49"/>
    <hyperlink r:id="rId55" ref="AA50"/>
    <hyperlink r:id="rId56" ref="AA51"/>
    <hyperlink r:id="rId57" ref="AA52"/>
    <hyperlink r:id="rId58" ref="AA53"/>
    <hyperlink r:id="rId59" ref="AA54"/>
    <hyperlink r:id="rId60" ref="AA55"/>
    <hyperlink r:id="rId61" ref="AA56"/>
    <hyperlink r:id="rId62" ref="Z58"/>
    <hyperlink r:id="rId63" ref="AA58"/>
    <hyperlink r:id="rId64" ref="AA59"/>
    <hyperlink r:id="rId65" ref="AA62"/>
  </hyperlinks>
  <drawing r:id="rId66"/>
  <legacyDrawing r:id="rId67"/>
  <tableParts count="1">
    <tablePart r:id="rId6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8"/>
    <col customWidth="1" min="2" max="3" width="11.13"/>
    <col customWidth="1" min="4" max="4" width="7.5"/>
    <col customWidth="1" min="5" max="5" width="8.63"/>
    <col customWidth="1" min="6" max="6" width="11.25"/>
    <col customWidth="1" min="7" max="7" width="12.88"/>
    <col customWidth="1" min="8" max="8" width="10.63"/>
    <col customWidth="1" min="9" max="9" width="11.25"/>
    <col customWidth="1" min="10" max="10" width="12.38"/>
    <col customWidth="1" min="11" max="11" width="9.38"/>
    <col customWidth="1" min="12" max="12" width="11.0"/>
    <col customWidth="1" min="13" max="16" width="11.5"/>
    <col customWidth="1" min="17" max="17" width="11.88"/>
    <col customWidth="1" min="18" max="18" width="12.13"/>
    <col customWidth="1" min="19" max="19" width="12.0"/>
    <col customWidth="1" min="20" max="20" width="10.5"/>
    <col customWidth="1" min="21" max="21" width="11.63"/>
    <col customWidth="1" min="22" max="22" width="13.63"/>
    <col customWidth="1" min="23" max="23" width="14.75"/>
  </cols>
  <sheetData>
    <row r="1" ht="40.5" customHeight="1">
      <c r="A1" s="1"/>
      <c r="B1" s="2"/>
      <c r="C1" s="2"/>
      <c r="D1" s="2"/>
      <c r="E1" s="2"/>
      <c r="F1" s="2"/>
      <c r="G1" s="3"/>
      <c r="H1" s="2"/>
      <c r="I1" s="2"/>
      <c r="J1" s="3"/>
      <c r="K1" s="2"/>
      <c r="L1" s="4"/>
      <c r="M1" s="2"/>
      <c r="N1" s="2"/>
      <c r="O1" s="2"/>
      <c r="P1" s="2"/>
      <c r="Q1" s="4"/>
      <c r="R1" s="4"/>
      <c r="S1" s="4"/>
      <c r="T1" s="4"/>
      <c r="U1" s="4"/>
      <c r="V1" s="4"/>
      <c r="W1" s="4"/>
      <c r="X1" s="4"/>
    </row>
    <row r="2" ht="40.5" customHeight="1">
      <c r="A2" s="5" t="s">
        <v>0</v>
      </c>
      <c r="B2" s="6" t="s">
        <v>1</v>
      </c>
      <c r="C2" s="7" t="s">
        <v>5</v>
      </c>
      <c r="D2" s="7" t="s">
        <v>6</v>
      </c>
      <c r="E2" s="7" t="s">
        <v>7</v>
      </c>
      <c r="F2" s="7" t="s">
        <v>8</v>
      </c>
      <c r="G2" s="8" t="s">
        <v>9</v>
      </c>
      <c r="H2" s="7" t="s">
        <v>10</v>
      </c>
      <c r="I2" s="7" t="s">
        <v>11</v>
      </c>
      <c r="J2" s="8" t="s">
        <v>12</v>
      </c>
      <c r="K2" s="7" t="s">
        <v>13</v>
      </c>
      <c r="L2" s="9" t="s">
        <v>14</v>
      </c>
      <c r="M2" s="6" t="s">
        <v>15</v>
      </c>
      <c r="N2" s="10" t="s">
        <v>16</v>
      </c>
      <c r="O2" s="6" t="s">
        <v>17</v>
      </c>
      <c r="P2" s="7" t="s">
        <v>18</v>
      </c>
      <c r="Q2" s="9" t="s">
        <v>19</v>
      </c>
      <c r="R2" s="9" t="s">
        <v>20</v>
      </c>
      <c r="S2" s="9" t="s">
        <v>21</v>
      </c>
      <c r="T2" s="9" t="s">
        <v>22</v>
      </c>
      <c r="U2" s="9" t="s">
        <v>23</v>
      </c>
      <c r="V2" s="9" t="s">
        <v>24</v>
      </c>
      <c r="W2" s="9" t="s">
        <v>25</v>
      </c>
      <c r="X2" s="9" t="s">
        <v>26</v>
      </c>
      <c r="Y2" s="11" t="s">
        <v>27</v>
      </c>
      <c r="Z2" s="12" t="s">
        <v>28</v>
      </c>
      <c r="AA2" s="12" t="s">
        <v>29</v>
      </c>
    </row>
    <row r="3" ht="40.5" customHeight="1">
      <c r="A3" s="13">
        <v>1.0</v>
      </c>
      <c r="B3" s="14" t="s">
        <v>31</v>
      </c>
      <c r="C3" s="15" t="s">
        <v>32</v>
      </c>
      <c r="D3" s="15" t="s">
        <v>33</v>
      </c>
      <c r="E3" s="15" t="s">
        <v>34</v>
      </c>
      <c r="F3" s="65">
        <v>292.0</v>
      </c>
      <c r="G3" s="17" t="s">
        <v>35</v>
      </c>
      <c r="H3" s="65">
        <v>164.0</v>
      </c>
      <c r="I3" s="15" t="s">
        <v>36</v>
      </c>
      <c r="J3" s="15" t="s">
        <v>37</v>
      </c>
      <c r="K3" s="15" t="s">
        <v>38</v>
      </c>
      <c r="L3" s="15" t="s">
        <v>39</v>
      </c>
      <c r="M3" s="15" t="s">
        <v>40</v>
      </c>
      <c r="N3" s="15" t="s">
        <v>41</v>
      </c>
      <c r="O3" s="15" t="s">
        <v>42</v>
      </c>
      <c r="P3" s="15" t="s">
        <v>43</v>
      </c>
      <c r="Q3" s="15" t="s">
        <v>44</v>
      </c>
      <c r="R3" s="14" t="s">
        <v>45</v>
      </c>
      <c r="S3" s="14" t="s">
        <v>46</v>
      </c>
      <c r="T3" s="14" t="s">
        <v>47</v>
      </c>
      <c r="U3" s="14" t="s">
        <v>883</v>
      </c>
      <c r="V3" s="14" t="s">
        <v>49</v>
      </c>
      <c r="W3" s="18" t="s">
        <v>50</v>
      </c>
      <c r="X3" s="14" t="s">
        <v>51</v>
      </c>
      <c r="Y3" s="19"/>
      <c r="Z3" s="20"/>
      <c r="AA3" s="21" t="s">
        <v>52</v>
      </c>
    </row>
    <row r="4" ht="40.5" customHeight="1">
      <c r="A4" s="13">
        <v>2.0</v>
      </c>
      <c r="B4" s="14" t="s">
        <v>53</v>
      </c>
      <c r="C4" s="14" t="s">
        <v>54</v>
      </c>
      <c r="D4" s="14" t="s">
        <v>33</v>
      </c>
      <c r="E4" s="14" t="s">
        <v>55</v>
      </c>
      <c r="F4" s="26">
        <v>587.0</v>
      </c>
      <c r="G4" s="23" t="s">
        <v>56</v>
      </c>
      <c r="H4" s="26">
        <v>18.0</v>
      </c>
      <c r="I4" s="14" t="s">
        <v>36</v>
      </c>
      <c r="J4" s="24" t="s">
        <v>57</v>
      </c>
      <c r="K4" s="14" t="s">
        <v>58</v>
      </c>
      <c r="L4" s="14" t="s">
        <v>40</v>
      </c>
      <c r="M4" s="14" t="s">
        <v>40</v>
      </c>
      <c r="N4" s="14" t="s">
        <v>40</v>
      </c>
      <c r="O4" s="14" t="s">
        <v>42</v>
      </c>
      <c r="P4" s="14" t="s">
        <v>42</v>
      </c>
      <c r="Q4" s="14" t="s">
        <v>59</v>
      </c>
      <c r="R4" s="14" t="s">
        <v>60</v>
      </c>
      <c r="S4" s="14" t="s">
        <v>61</v>
      </c>
      <c r="T4" s="14" t="s">
        <v>62</v>
      </c>
      <c r="U4" s="14" t="s">
        <v>63</v>
      </c>
      <c r="V4" s="14" t="s">
        <v>64</v>
      </c>
      <c r="W4" s="18" t="s">
        <v>50</v>
      </c>
      <c r="X4" s="25" t="s">
        <v>65</v>
      </c>
      <c r="Y4" s="19"/>
      <c r="Z4" s="20"/>
      <c r="AA4" s="21" t="s">
        <v>52</v>
      </c>
    </row>
    <row r="5" ht="40.5" customHeight="1">
      <c r="A5" s="13">
        <v>3.0</v>
      </c>
      <c r="B5" s="14" t="s">
        <v>66</v>
      </c>
      <c r="C5" s="14" t="s">
        <v>67</v>
      </c>
      <c r="D5" s="14" t="s">
        <v>33</v>
      </c>
      <c r="E5" s="14" t="s">
        <v>68</v>
      </c>
      <c r="F5" s="26">
        <v>1100.0</v>
      </c>
      <c r="G5" s="23" t="s">
        <v>69</v>
      </c>
      <c r="H5" s="26">
        <v>480.0</v>
      </c>
      <c r="I5" s="14" t="s">
        <v>36</v>
      </c>
      <c r="J5" s="14">
        <v>48.0</v>
      </c>
      <c r="K5" s="14" t="s">
        <v>70</v>
      </c>
      <c r="L5" s="14" t="s">
        <v>71</v>
      </c>
      <c r="M5" s="14" t="s">
        <v>72</v>
      </c>
      <c r="N5" s="25" t="s">
        <v>884</v>
      </c>
      <c r="O5" s="14" t="s">
        <v>42</v>
      </c>
      <c r="P5" s="14" t="s">
        <v>42</v>
      </c>
      <c r="Q5" s="14" t="s">
        <v>74</v>
      </c>
      <c r="R5" s="14" t="s">
        <v>75</v>
      </c>
      <c r="S5" s="14" t="s">
        <v>76</v>
      </c>
      <c r="T5" s="14" t="s">
        <v>77</v>
      </c>
      <c r="U5" s="14" t="s">
        <v>78</v>
      </c>
      <c r="V5" s="14" t="s">
        <v>79</v>
      </c>
      <c r="W5" s="18" t="s">
        <v>50</v>
      </c>
      <c r="X5" s="25" t="s">
        <v>80</v>
      </c>
      <c r="Y5" s="14" t="s">
        <v>81</v>
      </c>
      <c r="Z5" s="20"/>
      <c r="AA5" s="21" t="s">
        <v>82</v>
      </c>
      <c r="AB5" s="41"/>
    </row>
    <row r="6" ht="40.5" customHeight="1">
      <c r="A6" s="13">
        <v>4.0</v>
      </c>
      <c r="B6" s="14" t="s">
        <v>83</v>
      </c>
      <c r="C6" s="14" t="s">
        <v>84</v>
      </c>
      <c r="D6" s="14" t="s">
        <v>33</v>
      </c>
      <c r="E6" s="14" t="s">
        <v>85</v>
      </c>
      <c r="F6" s="26">
        <v>2061.0</v>
      </c>
      <c r="G6" s="26" t="s">
        <v>86</v>
      </c>
      <c r="H6" s="13" t="s">
        <v>87</v>
      </c>
      <c r="I6" s="14" t="s">
        <v>88</v>
      </c>
      <c r="J6" s="14" t="s">
        <v>89</v>
      </c>
      <c r="K6" s="14" t="s">
        <v>70</v>
      </c>
      <c r="L6" s="14" t="s">
        <v>90</v>
      </c>
      <c r="M6" s="14" t="s">
        <v>91</v>
      </c>
      <c r="N6" s="14" t="s">
        <v>92</v>
      </c>
      <c r="O6" s="14" t="s">
        <v>42</v>
      </c>
      <c r="P6" s="14" t="s">
        <v>93</v>
      </c>
      <c r="Q6" s="14" t="s">
        <v>94</v>
      </c>
      <c r="R6" s="14" t="s">
        <v>95</v>
      </c>
      <c r="S6" s="14" t="s">
        <v>96</v>
      </c>
      <c r="T6" s="14" t="s">
        <v>97</v>
      </c>
      <c r="U6" s="14" t="s">
        <v>98</v>
      </c>
      <c r="V6" s="14" t="s">
        <v>99</v>
      </c>
      <c r="W6" s="18" t="s">
        <v>50</v>
      </c>
      <c r="X6" s="28" t="s">
        <v>100</v>
      </c>
      <c r="Y6" s="14" t="s">
        <v>81</v>
      </c>
      <c r="Z6" s="20"/>
      <c r="AA6" s="21" t="s">
        <v>82</v>
      </c>
      <c r="AB6" s="66"/>
    </row>
    <row r="7" ht="40.5" customHeight="1">
      <c r="A7" s="36">
        <v>5.0</v>
      </c>
      <c r="B7" s="14" t="s">
        <v>101</v>
      </c>
      <c r="C7" s="14" t="s">
        <v>102</v>
      </c>
      <c r="D7" s="14" t="s">
        <v>33</v>
      </c>
      <c r="E7" s="14" t="s">
        <v>103</v>
      </c>
      <c r="F7" s="26">
        <v>2390.0</v>
      </c>
      <c r="G7" s="23" t="s">
        <v>104</v>
      </c>
      <c r="H7" s="26">
        <v>120.0</v>
      </c>
      <c r="I7" s="14" t="s">
        <v>36</v>
      </c>
      <c r="J7" s="14">
        <v>40.0</v>
      </c>
      <c r="K7" s="14" t="s">
        <v>58</v>
      </c>
      <c r="L7" s="29" t="s">
        <v>105</v>
      </c>
      <c r="M7" s="14" t="s">
        <v>106</v>
      </c>
      <c r="N7" s="14" t="s">
        <v>107</v>
      </c>
      <c r="O7" s="14" t="s">
        <v>42</v>
      </c>
      <c r="P7" s="14" t="s">
        <v>42</v>
      </c>
      <c r="Q7" s="14" t="s">
        <v>108</v>
      </c>
      <c r="R7" s="14" t="s">
        <v>40</v>
      </c>
      <c r="S7" s="14" t="s">
        <v>40</v>
      </c>
      <c r="T7" s="30" t="s">
        <v>109</v>
      </c>
      <c r="U7" s="30" t="s">
        <v>110</v>
      </c>
      <c r="V7" s="14" t="s">
        <v>111</v>
      </c>
      <c r="W7" s="18" t="s">
        <v>50</v>
      </c>
      <c r="X7" s="25" t="s">
        <v>112</v>
      </c>
      <c r="Y7" s="19"/>
      <c r="Z7" s="31" t="s">
        <v>113</v>
      </c>
      <c r="AA7" s="21" t="s">
        <v>82</v>
      </c>
    </row>
    <row r="8" ht="40.5" customHeight="1">
      <c r="A8" s="36">
        <v>6.0</v>
      </c>
      <c r="B8" s="14" t="s">
        <v>114</v>
      </c>
      <c r="C8" s="14" t="s">
        <v>115</v>
      </c>
      <c r="D8" s="14" t="s">
        <v>33</v>
      </c>
      <c r="E8" s="14" t="s">
        <v>103</v>
      </c>
      <c r="F8" s="26">
        <v>3314.0</v>
      </c>
      <c r="G8" s="23" t="s">
        <v>116</v>
      </c>
      <c r="H8" s="26">
        <v>136.0</v>
      </c>
      <c r="I8" s="14" t="s">
        <v>36</v>
      </c>
      <c r="J8" s="14">
        <v>34.0</v>
      </c>
      <c r="K8" s="14" t="s">
        <v>58</v>
      </c>
      <c r="L8" s="14" t="s">
        <v>117</v>
      </c>
      <c r="M8" s="14" t="s">
        <v>40</v>
      </c>
      <c r="N8" s="14" t="s">
        <v>118</v>
      </c>
      <c r="O8" s="14" t="s">
        <v>42</v>
      </c>
      <c r="P8" s="14" t="s">
        <v>43</v>
      </c>
      <c r="Q8" s="14" t="s">
        <v>40</v>
      </c>
      <c r="R8" s="14" t="s">
        <v>40</v>
      </c>
      <c r="S8" s="14" t="s">
        <v>40</v>
      </c>
      <c r="T8" s="14" t="s">
        <v>119</v>
      </c>
      <c r="U8" s="14" t="s">
        <v>120</v>
      </c>
      <c r="V8" s="14" t="s">
        <v>121</v>
      </c>
      <c r="W8" s="18" t="s">
        <v>50</v>
      </c>
      <c r="X8" s="33" t="s">
        <v>122</v>
      </c>
      <c r="Y8" s="19"/>
      <c r="Z8" s="21" t="s">
        <v>123</v>
      </c>
      <c r="AA8" s="21" t="s">
        <v>82</v>
      </c>
      <c r="AB8" s="67"/>
    </row>
    <row r="9" ht="40.5" customHeight="1">
      <c r="A9" s="36">
        <v>7.0</v>
      </c>
      <c r="B9" s="14" t="s">
        <v>124</v>
      </c>
      <c r="C9" s="14" t="s">
        <v>125</v>
      </c>
      <c r="D9" s="14" t="s">
        <v>33</v>
      </c>
      <c r="E9" s="14" t="s">
        <v>126</v>
      </c>
      <c r="F9" s="26">
        <v>3783.0</v>
      </c>
      <c r="G9" s="23" t="s">
        <v>127</v>
      </c>
      <c r="H9" s="26">
        <v>7225.0</v>
      </c>
      <c r="I9" s="14" t="s">
        <v>36</v>
      </c>
      <c r="J9" s="14">
        <v>17.0</v>
      </c>
      <c r="K9" s="14" t="s">
        <v>58</v>
      </c>
      <c r="L9" s="14" t="s">
        <v>128</v>
      </c>
      <c r="M9" s="14" t="s">
        <v>129</v>
      </c>
      <c r="N9" s="14" t="s">
        <v>40</v>
      </c>
      <c r="O9" s="14" t="s">
        <v>130</v>
      </c>
      <c r="P9" s="14" t="s">
        <v>131</v>
      </c>
      <c r="Q9" s="14" t="s">
        <v>40</v>
      </c>
      <c r="R9" s="14" t="s">
        <v>132</v>
      </c>
      <c r="S9" s="14" t="s">
        <v>133</v>
      </c>
      <c r="T9" s="30" t="s">
        <v>134</v>
      </c>
      <c r="U9" s="14" t="s">
        <v>135</v>
      </c>
      <c r="V9" s="14" t="s">
        <v>136</v>
      </c>
      <c r="W9" s="18" t="s">
        <v>50</v>
      </c>
      <c r="X9" s="25" t="s">
        <v>137</v>
      </c>
      <c r="Y9" s="19"/>
      <c r="Z9" s="20"/>
      <c r="AA9" s="21" t="s">
        <v>82</v>
      </c>
    </row>
    <row r="10" ht="40.5" customHeight="1">
      <c r="A10" s="36">
        <v>8.0</v>
      </c>
      <c r="B10" s="14" t="s">
        <v>138</v>
      </c>
      <c r="C10" s="14" t="s">
        <v>139</v>
      </c>
      <c r="D10" s="14" t="s">
        <v>33</v>
      </c>
      <c r="E10" s="14" t="s">
        <v>55</v>
      </c>
      <c r="F10" s="26">
        <v>4376.0</v>
      </c>
      <c r="G10" s="26" t="s">
        <v>140</v>
      </c>
      <c r="H10" s="26">
        <v>20.0</v>
      </c>
      <c r="I10" s="14" t="s">
        <v>36</v>
      </c>
      <c r="J10" s="14">
        <v>18.0</v>
      </c>
      <c r="K10" s="14" t="s">
        <v>58</v>
      </c>
      <c r="L10" s="14" t="s">
        <v>141</v>
      </c>
      <c r="M10" s="14" t="s">
        <v>142</v>
      </c>
      <c r="N10" s="14" t="s">
        <v>40</v>
      </c>
      <c r="O10" s="14" t="s">
        <v>42</v>
      </c>
      <c r="P10" s="14" t="s">
        <v>42</v>
      </c>
      <c r="Q10" s="14" t="s">
        <v>143</v>
      </c>
      <c r="R10" s="14" t="s">
        <v>144</v>
      </c>
      <c r="S10" s="14" t="s">
        <v>145</v>
      </c>
      <c r="T10" s="30" t="s">
        <v>146</v>
      </c>
      <c r="U10" s="30" t="s">
        <v>147</v>
      </c>
      <c r="V10" s="14" t="s">
        <v>148</v>
      </c>
      <c r="W10" s="18" t="s">
        <v>50</v>
      </c>
      <c r="X10" s="25" t="s">
        <v>149</v>
      </c>
      <c r="Y10" s="19"/>
      <c r="Z10" s="20"/>
      <c r="AA10" s="21" t="s">
        <v>82</v>
      </c>
    </row>
    <row r="11" ht="40.5" customHeight="1">
      <c r="A11" s="13">
        <v>9.0</v>
      </c>
      <c r="B11" s="14" t="s">
        <v>138</v>
      </c>
      <c r="C11" s="14" t="s">
        <v>150</v>
      </c>
      <c r="D11" s="14" t="s">
        <v>33</v>
      </c>
      <c r="E11" s="14" t="s">
        <v>55</v>
      </c>
      <c r="F11" s="26">
        <v>24325.0</v>
      </c>
      <c r="G11" s="26" t="s">
        <v>151</v>
      </c>
      <c r="H11" s="26">
        <v>1300.0</v>
      </c>
      <c r="I11" s="13" t="s">
        <v>152</v>
      </c>
      <c r="J11" s="14">
        <v>21.0</v>
      </c>
      <c r="K11" s="14" t="s">
        <v>58</v>
      </c>
      <c r="L11" s="14" t="s">
        <v>153</v>
      </c>
      <c r="M11" s="14" t="s">
        <v>50</v>
      </c>
      <c r="N11" s="14" t="s">
        <v>154</v>
      </c>
      <c r="O11" s="14" t="s">
        <v>42</v>
      </c>
      <c r="P11" s="14" t="s">
        <v>93</v>
      </c>
      <c r="Q11" s="14" t="s">
        <v>155</v>
      </c>
      <c r="R11" s="14" t="s">
        <v>156</v>
      </c>
      <c r="S11" s="14" t="s">
        <v>157</v>
      </c>
      <c r="T11" s="14" t="s">
        <v>158</v>
      </c>
      <c r="U11" s="14" t="s">
        <v>159</v>
      </c>
      <c r="V11" s="14" t="s">
        <v>50</v>
      </c>
      <c r="W11" s="14" t="s">
        <v>50</v>
      </c>
      <c r="X11" s="25" t="s">
        <v>160</v>
      </c>
      <c r="Y11" s="19"/>
      <c r="Z11" s="20"/>
      <c r="AA11" s="21" t="s">
        <v>82</v>
      </c>
    </row>
    <row r="12" ht="40.5" customHeight="1">
      <c r="A12" s="68">
        <v>10.0</v>
      </c>
      <c r="B12" s="14" t="s">
        <v>161</v>
      </c>
      <c r="C12" s="14" t="s">
        <v>162</v>
      </c>
      <c r="D12" s="14" t="s">
        <v>33</v>
      </c>
      <c r="E12" s="14" t="s">
        <v>126</v>
      </c>
      <c r="F12" s="26">
        <v>25291.0</v>
      </c>
      <c r="G12" s="26" t="s">
        <v>163</v>
      </c>
      <c r="H12" s="26">
        <v>360.0</v>
      </c>
      <c r="I12" s="46" t="s">
        <v>164</v>
      </c>
      <c r="J12" s="14">
        <v>20.0</v>
      </c>
      <c r="K12" s="14" t="s">
        <v>58</v>
      </c>
      <c r="L12" s="14" t="s">
        <v>165</v>
      </c>
      <c r="M12" s="14" t="s">
        <v>885</v>
      </c>
      <c r="N12" s="25" t="s">
        <v>886</v>
      </c>
      <c r="O12" s="14" t="s">
        <v>42</v>
      </c>
      <c r="P12" s="14" t="s">
        <v>42</v>
      </c>
      <c r="Q12" s="14" t="s">
        <v>168</v>
      </c>
      <c r="R12" s="14" t="s">
        <v>887</v>
      </c>
      <c r="S12" s="14" t="s">
        <v>170</v>
      </c>
      <c r="T12" s="14" t="s">
        <v>888</v>
      </c>
      <c r="U12" s="14" t="s">
        <v>889</v>
      </c>
      <c r="V12" s="14" t="s">
        <v>173</v>
      </c>
      <c r="W12" s="18" t="s">
        <v>50</v>
      </c>
      <c r="X12" s="25" t="s">
        <v>174</v>
      </c>
      <c r="Y12" s="19"/>
      <c r="Z12" s="20"/>
      <c r="AA12" s="69"/>
    </row>
    <row r="13" ht="40.5" customHeight="1">
      <c r="A13" s="36">
        <v>11.0</v>
      </c>
      <c r="B13" s="30" t="s">
        <v>176</v>
      </c>
      <c r="C13" s="30" t="s">
        <v>177</v>
      </c>
      <c r="D13" s="30" t="s">
        <v>178</v>
      </c>
      <c r="E13" s="30" t="s">
        <v>179</v>
      </c>
      <c r="F13" s="70">
        <v>500.0</v>
      </c>
      <c r="G13" s="37" t="s">
        <v>180</v>
      </c>
      <c r="H13" s="70">
        <v>197.0</v>
      </c>
      <c r="I13" s="37" t="s">
        <v>181</v>
      </c>
      <c r="J13" s="30" t="s">
        <v>182</v>
      </c>
      <c r="K13" s="30" t="s">
        <v>38</v>
      </c>
      <c r="L13" s="30" t="s">
        <v>183</v>
      </c>
      <c r="M13" s="30" t="s">
        <v>184</v>
      </c>
      <c r="N13" s="30" t="s">
        <v>40</v>
      </c>
      <c r="O13" s="30" t="s">
        <v>43</v>
      </c>
      <c r="P13" s="30" t="s">
        <v>43</v>
      </c>
      <c r="Q13" s="30" t="s">
        <v>40</v>
      </c>
      <c r="R13" s="30" t="s">
        <v>185</v>
      </c>
      <c r="S13" s="30" t="s">
        <v>186</v>
      </c>
      <c r="T13" s="30" t="s">
        <v>187</v>
      </c>
      <c r="U13" s="30" t="s">
        <v>187</v>
      </c>
      <c r="V13" s="30" t="s">
        <v>188</v>
      </c>
      <c r="W13" s="30" t="s">
        <v>50</v>
      </c>
      <c r="X13" s="38" t="s">
        <v>189</v>
      </c>
      <c r="Y13" s="39" t="s">
        <v>890</v>
      </c>
      <c r="Z13" s="40"/>
      <c r="AA13" s="21" t="s">
        <v>82</v>
      </c>
    </row>
    <row r="14" ht="40.5" customHeight="1">
      <c r="A14" s="13">
        <v>12.0</v>
      </c>
      <c r="B14" s="14" t="s">
        <v>191</v>
      </c>
      <c r="C14" s="14" t="s">
        <v>192</v>
      </c>
      <c r="D14" s="14" t="s">
        <v>178</v>
      </c>
      <c r="E14" s="14" t="s">
        <v>193</v>
      </c>
      <c r="F14" s="26">
        <v>6000.0</v>
      </c>
      <c r="G14" s="13" t="s">
        <v>194</v>
      </c>
      <c r="H14" s="26">
        <v>3630.0</v>
      </c>
      <c r="I14" s="14" t="s">
        <v>36</v>
      </c>
      <c r="J14" s="14" t="s">
        <v>195</v>
      </c>
      <c r="K14" s="14" t="s">
        <v>38</v>
      </c>
      <c r="L14" s="14" t="s">
        <v>196</v>
      </c>
      <c r="M14" s="14" t="s">
        <v>197</v>
      </c>
      <c r="N14" s="14" t="s">
        <v>40</v>
      </c>
      <c r="O14" s="14" t="s">
        <v>43</v>
      </c>
      <c r="P14" s="14" t="s">
        <v>43</v>
      </c>
      <c r="Q14" s="14" t="s">
        <v>40</v>
      </c>
      <c r="R14" s="14" t="s">
        <v>198</v>
      </c>
      <c r="S14" s="14" t="s">
        <v>199</v>
      </c>
      <c r="T14" s="14" t="s">
        <v>200</v>
      </c>
      <c r="U14" s="14" t="s">
        <v>201</v>
      </c>
      <c r="V14" s="14" t="s">
        <v>202</v>
      </c>
      <c r="W14" s="18" t="s">
        <v>50</v>
      </c>
      <c r="X14" s="42" t="s">
        <v>203</v>
      </c>
      <c r="Y14" s="42" t="s">
        <v>204</v>
      </c>
      <c r="Z14" s="43"/>
      <c r="AA14" s="21" t="s">
        <v>82</v>
      </c>
      <c r="AB14" s="44"/>
      <c r="AC14" s="44"/>
      <c r="AD14" s="44"/>
      <c r="AE14" s="44"/>
      <c r="AF14" s="44"/>
      <c r="AG14" s="44"/>
      <c r="AH14" s="44"/>
      <c r="AI14" s="44"/>
      <c r="AJ14" s="44"/>
      <c r="AK14" s="44"/>
      <c r="AL14" s="44"/>
      <c r="AM14" s="44"/>
      <c r="AN14" s="44"/>
      <c r="AO14" s="44"/>
    </row>
    <row r="15" ht="40.5" customHeight="1">
      <c r="A15" s="36">
        <v>13.0</v>
      </c>
      <c r="B15" s="14" t="s">
        <v>205</v>
      </c>
      <c r="C15" s="14" t="s">
        <v>206</v>
      </c>
      <c r="D15" s="14" t="s">
        <v>207</v>
      </c>
      <c r="E15" s="14" t="s">
        <v>179</v>
      </c>
      <c r="F15" s="26">
        <v>425.0</v>
      </c>
      <c r="G15" s="23" t="s">
        <v>208</v>
      </c>
      <c r="H15" s="26">
        <v>112.0</v>
      </c>
      <c r="I15" s="14" t="s">
        <v>36</v>
      </c>
      <c r="J15" s="14">
        <v>28.0</v>
      </c>
      <c r="K15" s="14" t="s">
        <v>38</v>
      </c>
      <c r="L15" s="14" t="s">
        <v>209</v>
      </c>
      <c r="M15" s="14" t="s">
        <v>40</v>
      </c>
      <c r="N15" s="14" t="s">
        <v>210</v>
      </c>
      <c r="O15" s="14" t="s">
        <v>42</v>
      </c>
      <c r="P15" s="14" t="s">
        <v>43</v>
      </c>
      <c r="Q15" s="14" t="s">
        <v>40</v>
      </c>
      <c r="R15" s="14" t="s">
        <v>211</v>
      </c>
      <c r="S15" s="14" t="s">
        <v>212</v>
      </c>
      <c r="T15" s="14" t="s">
        <v>40</v>
      </c>
      <c r="U15" s="14" t="s">
        <v>40</v>
      </c>
      <c r="V15" s="14" t="s">
        <v>213</v>
      </c>
      <c r="W15" s="45" t="s">
        <v>214</v>
      </c>
      <c r="X15" s="25" t="s">
        <v>214</v>
      </c>
      <c r="Y15" s="19"/>
      <c r="Z15" s="20"/>
      <c r="AA15" s="21" t="s">
        <v>215</v>
      </c>
    </row>
    <row r="16" ht="40.5" customHeight="1">
      <c r="A16" s="36">
        <v>14.0</v>
      </c>
      <c r="B16" s="14" t="s">
        <v>216</v>
      </c>
      <c r="C16" s="14" t="s">
        <v>217</v>
      </c>
      <c r="D16" s="14" t="s">
        <v>207</v>
      </c>
      <c r="E16" s="14" t="s">
        <v>218</v>
      </c>
      <c r="F16" s="26">
        <v>1000.0</v>
      </c>
      <c r="G16" s="23" t="s">
        <v>219</v>
      </c>
      <c r="H16" s="26">
        <v>1300.0</v>
      </c>
      <c r="I16" s="14" t="s">
        <v>36</v>
      </c>
      <c r="J16" s="14" t="s">
        <v>220</v>
      </c>
      <c r="K16" s="14" t="s">
        <v>58</v>
      </c>
      <c r="L16" s="14" t="s">
        <v>221</v>
      </c>
      <c r="M16" s="14" t="s">
        <v>222</v>
      </c>
      <c r="N16" s="14" t="s">
        <v>223</v>
      </c>
      <c r="O16" s="14" t="s">
        <v>42</v>
      </c>
      <c r="P16" s="14" t="s">
        <v>43</v>
      </c>
      <c r="Q16" s="14" t="s">
        <v>40</v>
      </c>
      <c r="R16" s="14" t="s">
        <v>224</v>
      </c>
      <c r="S16" s="14" t="s">
        <v>225</v>
      </c>
      <c r="T16" s="14" t="s">
        <v>226</v>
      </c>
      <c r="U16" s="14" t="s">
        <v>227</v>
      </c>
      <c r="V16" s="14" t="s">
        <v>228</v>
      </c>
      <c r="W16" s="25" t="s">
        <v>229</v>
      </c>
      <c r="X16" s="33" t="s">
        <v>891</v>
      </c>
      <c r="Y16" s="14" t="s">
        <v>230</v>
      </c>
      <c r="Z16" s="20"/>
      <c r="AA16" s="21" t="s">
        <v>82</v>
      </c>
      <c r="AB16" s="71"/>
    </row>
    <row r="17" ht="40.5" customHeight="1">
      <c r="A17" s="13">
        <v>15.0</v>
      </c>
      <c r="B17" s="14" t="s">
        <v>231</v>
      </c>
      <c r="C17" s="14" t="s">
        <v>232</v>
      </c>
      <c r="D17" s="14" t="s">
        <v>233</v>
      </c>
      <c r="E17" s="14" t="s">
        <v>234</v>
      </c>
      <c r="F17" s="26">
        <v>300.0</v>
      </c>
      <c r="G17" s="14" t="s">
        <v>235</v>
      </c>
      <c r="H17" s="26">
        <v>202.0</v>
      </c>
      <c r="I17" s="46" t="s">
        <v>40</v>
      </c>
      <c r="J17" s="14">
        <v>198.0</v>
      </c>
      <c r="K17" s="14" t="s">
        <v>236</v>
      </c>
      <c r="L17" s="14" t="s">
        <v>237</v>
      </c>
      <c r="M17" s="14" t="s">
        <v>238</v>
      </c>
      <c r="N17" s="14" t="s">
        <v>40</v>
      </c>
      <c r="O17" s="14" t="s">
        <v>43</v>
      </c>
      <c r="P17" s="14" t="s">
        <v>43</v>
      </c>
      <c r="Q17" s="14" t="s">
        <v>239</v>
      </c>
      <c r="R17" s="14" t="s">
        <v>40</v>
      </c>
      <c r="S17" s="14" t="s">
        <v>40</v>
      </c>
      <c r="T17" s="14" t="s">
        <v>40</v>
      </c>
      <c r="U17" s="14" t="s">
        <v>240</v>
      </c>
      <c r="V17" s="14" t="s">
        <v>241</v>
      </c>
      <c r="W17" s="25" t="s">
        <v>242</v>
      </c>
      <c r="X17" s="25" t="s">
        <v>242</v>
      </c>
      <c r="Y17" s="19"/>
      <c r="Z17" s="20"/>
      <c r="AA17" s="21" t="s">
        <v>82</v>
      </c>
    </row>
    <row r="18" ht="40.5" customHeight="1">
      <c r="A18" s="13">
        <v>16.0</v>
      </c>
      <c r="B18" s="14" t="s">
        <v>243</v>
      </c>
      <c r="C18" s="14" t="s">
        <v>244</v>
      </c>
      <c r="D18" s="14" t="s">
        <v>233</v>
      </c>
      <c r="E18" s="14" t="s">
        <v>245</v>
      </c>
      <c r="F18" s="26">
        <v>398.0</v>
      </c>
      <c r="G18" s="26" t="s">
        <v>246</v>
      </c>
      <c r="H18" s="26">
        <v>63.0</v>
      </c>
      <c r="I18" s="14" t="s">
        <v>36</v>
      </c>
      <c r="J18" s="14">
        <v>63.0</v>
      </c>
      <c r="K18" s="14" t="s">
        <v>58</v>
      </c>
      <c r="L18" s="14" t="s">
        <v>247</v>
      </c>
      <c r="M18" s="14" t="s">
        <v>248</v>
      </c>
      <c r="N18" s="14" t="s">
        <v>40</v>
      </c>
      <c r="O18" s="14" t="s">
        <v>42</v>
      </c>
      <c r="P18" s="14" t="s">
        <v>43</v>
      </c>
      <c r="Q18" s="18" t="s">
        <v>892</v>
      </c>
      <c r="R18" s="18" t="s">
        <v>250</v>
      </c>
      <c r="S18" s="18" t="s">
        <v>251</v>
      </c>
      <c r="T18" s="18" t="s">
        <v>252</v>
      </c>
      <c r="U18" s="18" t="s">
        <v>253</v>
      </c>
      <c r="V18" s="18" t="s">
        <v>254</v>
      </c>
      <c r="W18" s="14" t="s">
        <v>50</v>
      </c>
      <c r="X18" s="25" t="s">
        <v>255</v>
      </c>
      <c r="Y18" s="18"/>
      <c r="Z18" s="20"/>
      <c r="AA18" s="21" t="s">
        <v>82</v>
      </c>
    </row>
    <row r="19" ht="40.5" customHeight="1">
      <c r="A19" s="13">
        <v>17.0</v>
      </c>
      <c r="B19" s="14" t="s">
        <v>256</v>
      </c>
      <c r="C19" s="14" t="s">
        <v>257</v>
      </c>
      <c r="D19" s="14" t="s">
        <v>233</v>
      </c>
      <c r="E19" s="14" t="s">
        <v>68</v>
      </c>
      <c r="F19" s="26">
        <v>460.0</v>
      </c>
      <c r="G19" s="26" t="s">
        <v>258</v>
      </c>
      <c r="H19" s="26">
        <v>78.0</v>
      </c>
      <c r="I19" s="14" t="s">
        <v>36</v>
      </c>
      <c r="J19" s="14">
        <v>78.0</v>
      </c>
      <c r="K19" s="14" t="s">
        <v>70</v>
      </c>
      <c r="L19" s="14" t="s">
        <v>259</v>
      </c>
      <c r="M19" s="14" t="s">
        <v>260</v>
      </c>
      <c r="N19" s="14" t="s">
        <v>40</v>
      </c>
      <c r="O19" s="14" t="s">
        <v>261</v>
      </c>
      <c r="P19" s="14" t="s">
        <v>262</v>
      </c>
      <c r="Q19" s="18" t="s">
        <v>263</v>
      </c>
      <c r="R19" s="18" t="s">
        <v>40</v>
      </c>
      <c r="S19" s="18" t="s">
        <v>40</v>
      </c>
      <c r="T19" s="18" t="s">
        <v>264</v>
      </c>
      <c r="U19" s="18" t="s">
        <v>265</v>
      </c>
      <c r="V19" s="18" t="s">
        <v>266</v>
      </c>
      <c r="W19" s="18" t="s">
        <v>50</v>
      </c>
      <c r="X19" s="47" t="s">
        <v>267</v>
      </c>
      <c r="Y19" s="20"/>
      <c r="Z19" s="20"/>
      <c r="AA19" s="21" t="s">
        <v>82</v>
      </c>
    </row>
    <row r="20" ht="40.5" customHeight="1">
      <c r="A20" s="13">
        <v>18.0</v>
      </c>
      <c r="B20" s="14" t="s">
        <v>268</v>
      </c>
      <c r="C20" s="14" t="s">
        <v>269</v>
      </c>
      <c r="D20" s="14" t="s">
        <v>233</v>
      </c>
      <c r="E20" s="14" t="s">
        <v>270</v>
      </c>
      <c r="F20" s="26">
        <v>629.0</v>
      </c>
      <c r="G20" s="26" t="s">
        <v>271</v>
      </c>
      <c r="H20" s="26">
        <v>28.0</v>
      </c>
      <c r="I20" s="14" t="s">
        <v>36</v>
      </c>
      <c r="J20" s="14">
        <v>14.0</v>
      </c>
      <c r="K20" s="14" t="s">
        <v>58</v>
      </c>
      <c r="L20" s="14" t="s">
        <v>272</v>
      </c>
      <c r="M20" s="14" t="s">
        <v>273</v>
      </c>
      <c r="N20" s="14" t="s">
        <v>274</v>
      </c>
      <c r="O20" s="14" t="s">
        <v>42</v>
      </c>
      <c r="P20" s="14" t="s">
        <v>93</v>
      </c>
      <c r="Q20" s="18" t="s">
        <v>275</v>
      </c>
      <c r="R20" s="18" t="s">
        <v>276</v>
      </c>
      <c r="S20" s="18" t="s">
        <v>277</v>
      </c>
      <c r="T20" s="18" t="s">
        <v>278</v>
      </c>
      <c r="U20" s="18" t="s">
        <v>279</v>
      </c>
      <c r="V20" s="18" t="s">
        <v>280</v>
      </c>
      <c r="W20" s="18" t="s">
        <v>50</v>
      </c>
      <c r="X20" s="54" t="s">
        <v>893</v>
      </c>
      <c r="Y20" s="47" t="s">
        <v>894</v>
      </c>
      <c r="Z20" s="50"/>
      <c r="AA20" s="51" t="s">
        <v>283</v>
      </c>
    </row>
    <row r="21" ht="40.5" customHeight="1">
      <c r="A21" s="13">
        <v>19.0</v>
      </c>
      <c r="B21" s="14" t="s">
        <v>284</v>
      </c>
      <c r="C21" s="14" t="s">
        <v>285</v>
      </c>
      <c r="D21" s="14" t="s">
        <v>233</v>
      </c>
      <c r="E21" s="14" t="s">
        <v>55</v>
      </c>
      <c r="F21" s="26">
        <v>1526.0</v>
      </c>
      <c r="G21" s="26" t="s">
        <v>286</v>
      </c>
      <c r="H21" s="26">
        <v>100.0</v>
      </c>
      <c r="I21" s="14" t="s">
        <v>36</v>
      </c>
      <c r="J21" s="14">
        <v>20.0</v>
      </c>
      <c r="K21" s="14" t="s">
        <v>58</v>
      </c>
      <c r="L21" s="14" t="s">
        <v>287</v>
      </c>
      <c r="M21" s="14" t="s">
        <v>895</v>
      </c>
      <c r="N21" s="14" t="s">
        <v>289</v>
      </c>
      <c r="O21" s="14" t="s">
        <v>42</v>
      </c>
      <c r="P21" s="14" t="s">
        <v>43</v>
      </c>
      <c r="Q21" s="18" t="s">
        <v>290</v>
      </c>
      <c r="R21" s="18" t="s">
        <v>896</v>
      </c>
      <c r="S21" s="18" t="s">
        <v>897</v>
      </c>
      <c r="T21" s="18" t="s">
        <v>898</v>
      </c>
      <c r="U21" s="18" t="s">
        <v>899</v>
      </c>
      <c r="V21" s="18" t="s">
        <v>295</v>
      </c>
      <c r="W21" s="14" t="s">
        <v>296</v>
      </c>
      <c r="X21" s="48" t="s">
        <v>900</v>
      </c>
      <c r="Y21" s="53"/>
      <c r="Z21" s="21" t="s">
        <v>298</v>
      </c>
      <c r="AA21" s="22"/>
    </row>
    <row r="22" ht="40.5" customHeight="1">
      <c r="A22" s="13">
        <v>20.0</v>
      </c>
      <c r="B22" s="14" t="s">
        <v>300</v>
      </c>
      <c r="C22" s="14" t="s">
        <v>301</v>
      </c>
      <c r="D22" s="14" t="s">
        <v>233</v>
      </c>
      <c r="E22" s="14" t="s">
        <v>302</v>
      </c>
      <c r="F22" s="26">
        <v>2272.0</v>
      </c>
      <c r="G22" s="26" t="s">
        <v>303</v>
      </c>
      <c r="H22" s="13" t="s">
        <v>304</v>
      </c>
      <c r="I22" s="14" t="s">
        <v>36</v>
      </c>
      <c r="J22" s="14" t="s">
        <v>305</v>
      </c>
      <c r="K22" s="14" t="s">
        <v>58</v>
      </c>
      <c r="L22" s="14" t="s">
        <v>306</v>
      </c>
      <c r="M22" s="14" t="s">
        <v>307</v>
      </c>
      <c r="N22" s="14" t="s">
        <v>40</v>
      </c>
      <c r="O22" s="14" t="s">
        <v>42</v>
      </c>
      <c r="P22" s="14" t="s">
        <v>43</v>
      </c>
      <c r="Q22" s="18" t="s">
        <v>308</v>
      </c>
      <c r="R22" s="18" t="s">
        <v>40</v>
      </c>
      <c r="S22" s="18" t="s">
        <v>40</v>
      </c>
      <c r="T22" s="18" t="s">
        <v>309</v>
      </c>
      <c r="U22" s="18" t="s">
        <v>310</v>
      </c>
      <c r="V22" s="18" t="s">
        <v>311</v>
      </c>
      <c r="W22" s="18" t="s">
        <v>50</v>
      </c>
      <c r="X22" s="47" t="s">
        <v>312</v>
      </c>
      <c r="Y22" s="20"/>
      <c r="Z22" s="20"/>
      <c r="AA22" s="21" t="s">
        <v>82</v>
      </c>
    </row>
    <row r="23" ht="40.5" customHeight="1">
      <c r="A23" s="13">
        <v>21.0</v>
      </c>
      <c r="B23" s="14" t="s">
        <v>313</v>
      </c>
      <c r="C23" s="14" t="s">
        <v>314</v>
      </c>
      <c r="D23" s="14" t="s">
        <v>233</v>
      </c>
      <c r="E23" s="14" t="s">
        <v>55</v>
      </c>
      <c r="F23" s="26">
        <v>2311.0</v>
      </c>
      <c r="G23" s="26" t="s">
        <v>315</v>
      </c>
      <c r="H23" s="13" t="s">
        <v>316</v>
      </c>
      <c r="I23" s="14" t="s">
        <v>36</v>
      </c>
      <c r="J23" s="14" t="s">
        <v>317</v>
      </c>
      <c r="K23" s="14" t="s">
        <v>58</v>
      </c>
      <c r="L23" s="14" t="s">
        <v>318</v>
      </c>
      <c r="M23" s="14" t="s">
        <v>40</v>
      </c>
      <c r="N23" s="14" t="s">
        <v>40</v>
      </c>
      <c r="O23" s="14" t="s">
        <v>42</v>
      </c>
      <c r="P23" s="14" t="s">
        <v>319</v>
      </c>
      <c r="Q23" s="18" t="s">
        <v>320</v>
      </c>
      <c r="R23" s="18" t="s">
        <v>321</v>
      </c>
      <c r="S23" s="18" t="s">
        <v>322</v>
      </c>
      <c r="T23" s="18" t="s">
        <v>323</v>
      </c>
      <c r="U23" s="18" t="s">
        <v>324</v>
      </c>
      <c r="V23" s="18" t="s">
        <v>325</v>
      </c>
      <c r="W23" s="18" t="s">
        <v>50</v>
      </c>
      <c r="X23" s="47" t="s">
        <v>326</v>
      </c>
      <c r="Y23" s="20"/>
      <c r="Z23" s="20"/>
      <c r="AA23" s="21" t="s">
        <v>82</v>
      </c>
    </row>
    <row r="24" ht="40.5" customHeight="1">
      <c r="A24" s="13">
        <v>22.0</v>
      </c>
      <c r="B24" s="14" t="s">
        <v>327</v>
      </c>
      <c r="C24" s="14" t="s">
        <v>328</v>
      </c>
      <c r="D24" s="14" t="s">
        <v>233</v>
      </c>
      <c r="E24" s="14" t="s">
        <v>329</v>
      </c>
      <c r="F24" s="26">
        <v>2938.0</v>
      </c>
      <c r="G24" s="26" t="s">
        <v>330</v>
      </c>
      <c r="H24" s="26">
        <v>2254.0</v>
      </c>
      <c r="I24" s="26" t="s">
        <v>331</v>
      </c>
      <c r="J24" s="14" t="s">
        <v>332</v>
      </c>
      <c r="K24" s="14" t="s">
        <v>58</v>
      </c>
      <c r="L24" s="14" t="s">
        <v>333</v>
      </c>
      <c r="M24" s="14" t="s">
        <v>901</v>
      </c>
      <c r="N24" s="14" t="s">
        <v>40</v>
      </c>
      <c r="O24" s="14" t="s">
        <v>43</v>
      </c>
      <c r="P24" s="14" t="s">
        <v>43</v>
      </c>
      <c r="Q24" s="18" t="s">
        <v>335</v>
      </c>
      <c r="R24" s="18" t="s">
        <v>336</v>
      </c>
      <c r="S24" s="18" t="s">
        <v>337</v>
      </c>
      <c r="T24" s="18" t="s">
        <v>902</v>
      </c>
      <c r="U24" s="18" t="s">
        <v>903</v>
      </c>
      <c r="V24" s="18" t="s">
        <v>340</v>
      </c>
      <c r="W24" s="18" t="s">
        <v>50</v>
      </c>
      <c r="X24" s="53" t="s">
        <v>341</v>
      </c>
      <c r="Y24" s="53" t="s">
        <v>342</v>
      </c>
      <c r="Z24" s="21" t="s">
        <v>343</v>
      </c>
      <c r="AA24" s="22"/>
    </row>
    <row r="25" ht="40.5" customHeight="1">
      <c r="A25" s="13">
        <v>23.0</v>
      </c>
      <c r="B25" s="14" t="s">
        <v>345</v>
      </c>
      <c r="C25" s="14" t="s">
        <v>346</v>
      </c>
      <c r="D25" s="14" t="s">
        <v>233</v>
      </c>
      <c r="E25" s="14" t="s">
        <v>193</v>
      </c>
      <c r="F25" s="26">
        <v>5553.0</v>
      </c>
      <c r="G25" s="26" t="s">
        <v>347</v>
      </c>
      <c r="H25" s="26">
        <v>1368.0</v>
      </c>
      <c r="I25" s="14" t="s">
        <v>36</v>
      </c>
      <c r="J25" s="14">
        <v>33.0</v>
      </c>
      <c r="K25" s="14" t="s">
        <v>58</v>
      </c>
      <c r="L25" s="14" t="s">
        <v>904</v>
      </c>
      <c r="M25" s="14" t="s">
        <v>351</v>
      </c>
      <c r="N25" s="14" t="s">
        <v>40</v>
      </c>
      <c r="O25" s="14" t="s">
        <v>42</v>
      </c>
      <c r="P25" s="14" t="s">
        <v>93</v>
      </c>
      <c r="Q25" s="18" t="s">
        <v>352</v>
      </c>
      <c r="R25" s="18" t="s">
        <v>40</v>
      </c>
      <c r="S25" s="18" t="s">
        <v>40</v>
      </c>
      <c r="T25" s="18" t="s">
        <v>905</v>
      </c>
      <c r="U25" s="18" t="s">
        <v>906</v>
      </c>
      <c r="V25" s="18" t="s">
        <v>355</v>
      </c>
      <c r="W25" s="18" t="s">
        <v>50</v>
      </c>
      <c r="X25" s="54" t="s">
        <v>356</v>
      </c>
      <c r="Y25" s="20"/>
      <c r="Z25" s="20"/>
      <c r="AA25" s="20"/>
    </row>
    <row r="26" ht="40.5" customHeight="1">
      <c r="A26" s="13">
        <v>24.0</v>
      </c>
      <c r="B26" s="14" t="s">
        <v>357</v>
      </c>
      <c r="C26" s="14" t="s">
        <v>358</v>
      </c>
      <c r="D26" s="14" t="s">
        <v>359</v>
      </c>
      <c r="E26" s="14" t="s">
        <v>34</v>
      </c>
      <c r="F26" s="26">
        <v>210.0</v>
      </c>
      <c r="G26" s="26" t="s">
        <v>360</v>
      </c>
      <c r="H26" s="13" t="s">
        <v>361</v>
      </c>
      <c r="I26" s="14" t="s">
        <v>36</v>
      </c>
      <c r="J26" s="14" t="s">
        <v>362</v>
      </c>
      <c r="K26" s="14" t="s">
        <v>363</v>
      </c>
      <c r="L26" s="14" t="s">
        <v>364</v>
      </c>
      <c r="M26" s="14" t="s">
        <v>365</v>
      </c>
      <c r="N26" s="14" t="s">
        <v>40</v>
      </c>
      <c r="O26" s="14" t="s">
        <v>42</v>
      </c>
      <c r="P26" s="14" t="s">
        <v>43</v>
      </c>
      <c r="Q26" s="18" t="s">
        <v>366</v>
      </c>
      <c r="R26" s="18" t="s">
        <v>367</v>
      </c>
      <c r="S26" s="18" t="s">
        <v>368</v>
      </c>
      <c r="T26" s="18" t="s">
        <v>369</v>
      </c>
      <c r="U26" s="18" t="s">
        <v>370</v>
      </c>
      <c r="V26" s="18" t="s">
        <v>371</v>
      </c>
      <c r="W26" s="18" t="s">
        <v>50</v>
      </c>
      <c r="X26" s="54" t="s">
        <v>907</v>
      </c>
      <c r="Y26" s="20"/>
      <c r="Z26" s="20"/>
      <c r="AA26" s="21" t="s">
        <v>373</v>
      </c>
    </row>
    <row r="27" ht="40.5" customHeight="1">
      <c r="A27" s="13">
        <v>25.0</v>
      </c>
      <c r="B27" s="14" t="s">
        <v>375</v>
      </c>
      <c r="C27" s="14" t="s">
        <v>376</v>
      </c>
      <c r="D27" s="14" t="s">
        <v>377</v>
      </c>
      <c r="E27" s="14" t="s">
        <v>179</v>
      </c>
      <c r="F27" s="26">
        <v>270.0</v>
      </c>
      <c r="G27" s="26" t="s">
        <v>378</v>
      </c>
      <c r="H27" s="26">
        <v>96.0</v>
      </c>
      <c r="I27" s="14" t="s">
        <v>908</v>
      </c>
      <c r="J27" s="14">
        <v>96.0</v>
      </c>
      <c r="K27" s="14" t="s">
        <v>380</v>
      </c>
      <c r="L27" s="56" t="s">
        <v>381</v>
      </c>
      <c r="M27" s="56" t="s">
        <v>381</v>
      </c>
      <c r="N27" s="14" t="s">
        <v>382</v>
      </c>
      <c r="O27" s="14" t="s">
        <v>42</v>
      </c>
      <c r="P27" s="14" t="s">
        <v>383</v>
      </c>
      <c r="Q27" s="18" t="s">
        <v>40</v>
      </c>
      <c r="R27" s="18" t="s">
        <v>40</v>
      </c>
      <c r="S27" s="18" t="s">
        <v>40</v>
      </c>
      <c r="T27" s="18" t="s">
        <v>909</v>
      </c>
      <c r="U27" s="18" t="s">
        <v>910</v>
      </c>
      <c r="V27" s="18" t="s">
        <v>386</v>
      </c>
      <c r="W27" s="18" t="s">
        <v>50</v>
      </c>
      <c r="X27" s="57" t="s">
        <v>911</v>
      </c>
      <c r="Y27" s="18" t="s">
        <v>388</v>
      </c>
      <c r="Z27" s="21" t="s">
        <v>389</v>
      </c>
      <c r="AA27" s="22"/>
    </row>
    <row r="28" ht="40.5" customHeight="1">
      <c r="A28" s="13">
        <v>26.0</v>
      </c>
      <c r="B28" s="14" t="s">
        <v>390</v>
      </c>
      <c r="C28" s="14" t="s">
        <v>391</v>
      </c>
      <c r="D28" s="14" t="s">
        <v>377</v>
      </c>
      <c r="E28" s="14" t="s">
        <v>392</v>
      </c>
      <c r="F28" s="26">
        <v>319.0</v>
      </c>
      <c r="G28" s="26" t="s">
        <v>393</v>
      </c>
      <c r="H28" s="26">
        <v>39.0</v>
      </c>
      <c r="I28" s="14" t="s">
        <v>36</v>
      </c>
      <c r="J28" s="14" t="s">
        <v>394</v>
      </c>
      <c r="K28" s="14" t="s">
        <v>38</v>
      </c>
      <c r="L28" s="14" t="s">
        <v>395</v>
      </c>
      <c r="M28" s="14" t="s">
        <v>396</v>
      </c>
      <c r="N28" s="14" t="s">
        <v>40</v>
      </c>
      <c r="O28" s="14" t="s">
        <v>43</v>
      </c>
      <c r="P28" s="14" t="s">
        <v>43</v>
      </c>
      <c r="Q28" s="18" t="s">
        <v>397</v>
      </c>
      <c r="R28" s="18" t="s">
        <v>398</v>
      </c>
      <c r="S28" s="18" t="s">
        <v>399</v>
      </c>
      <c r="T28" s="18" t="s">
        <v>400</v>
      </c>
      <c r="U28" s="18" t="s">
        <v>401</v>
      </c>
      <c r="V28" s="18" t="s">
        <v>402</v>
      </c>
      <c r="W28" s="18" t="s">
        <v>50</v>
      </c>
      <c r="X28" s="47" t="s">
        <v>403</v>
      </c>
      <c r="Y28" s="20"/>
      <c r="Z28" s="20"/>
      <c r="AA28" s="21" t="s">
        <v>82</v>
      </c>
    </row>
    <row r="29" ht="40.5" customHeight="1">
      <c r="A29" s="13">
        <v>27.0</v>
      </c>
      <c r="B29" s="14" t="s">
        <v>404</v>
      </c>
      <c r="C29" s="14" t="s">
        <v>405</v>
      </c>
      <c r="D29" s="14" t="s">
        <v>377</v>
      </c>
      <c r="E29" s="14" t="s">
        <v>270</v>
      </c>
      <c r="F29" s="26">
        <v>506.0</v>
      </c>
      <c r="G29" s="26" t="s">
        <v>406</v>
      </c>
      <c r="H29" s="13" t="s">
        <v>407</v>
      </c>
      <c r="I29" s="14" t="s">
        <v>36</v>
      </c>
      <c r="J29" s="14" t="s">
        <v>408</v>
      </c>
      <c r="K29" s="14" t="s">
        <v>38</v>
      </c>
      <c r="L29" s="14" t="s">
        <v>409</v>
      </c>
      <c r="M29" s="14" t="s">
        <v>410</v>
      </c>
      <c r="N29" s="14" t="s">
        <v>411</v>
      </c>
      <c r="O29" s="14" t="s">
        <v>131</v>
      </c>
      <c r="P29" s="14" t="s">
        <v>131</v>
      </c>
      <c r="Q29" s="18" t="s">
        <v>412</v>
      </c>
      <c r="R29" s="18" t="s">
        <v>413</v>
      </c>
      <c r="S29" s="18" t="s">
        <v>414</v>
      </c>
      <c r="T29" s="18" t="s">
        <v>415</v>
      </c>
      <c r="U29" s="18" t="s">
        <v>416</v>
      </c>
      <c r="V29" s="18" t="s">
        <v>417</v>
      </c>
      <c r="W29" s="18" t="s">
        <v>50</v>
      </c>
      <c r="X29" s="45" t="s">
        <v>418</v>
      </c>
      <c r="Y29" s="20"/>
      <c r="Z29" s="20"/>
      <c r="AA29" s="21" t="s">
        <v>82</v>
      </c>
    </row>
    <row r="30" ht="40.5" customHeight="1">
      <c r="A30" s="13">
        <v>28.0</v>
      </c>
      <c r="B30" s="14" t="s">
        <v>419</v>
      </c>
      <c r="C30" s="14" t="s">
        <v>420</v>
      </c>
      <c r="D30" s="14" t="s">
        <v>377</v>
      </c>
      <c r="E30" s="14" t="s">
        <v>421</v>
      </c>
      <c r="F30" s="26">
        <v>1286.0</v>
      </c>
      <c r="G30" s="26" t="s">
        <v>422</v>
      </c>
      <c r="H30" s="26">
        <v>1238.0</v>
      </c>
      <c r="I30" s="14" t="s">
        <v>423</v>
      </c>
      <c r="J30" s="14" t="s">
        <v>424</v>
      </c>
      <c r="K30" s="14" t="s">
        <v>58</v>
      </c>
      <c r="L30" s="14" t="s">
        <v>425</v>
      </c>
      <c r="M30" s="14" t="s">
        <v>426</v>
      </c>
      <c r="N30" s="25" t="s">
        <v>912</v>
      </c>
      <c r="O30" s="14" t="s">
        <v>43</v>
      </c>
      <c r="P30" s="14" t="s">
        <v>43</v>
      </c>
      <c r="Q30" s="18" t="s">
        <v>40</v>
      </c>
      <c r="R30" s="18" t="s">
        <v>428</v>
      </c>
      <c r="S30" s="18" t="s">
        <v>429</v>
      </c>
      <c r="T30" s="18" t="s">
        <v>430</v>
      </c>
      <c r="U30" s="18" t="s">
        <v>431</v>
      </c>
      <c r="V30" s="18" t="s">
        <v>432</v>
      </c>
      <c r="W30" s="45" t="s">
        <v>433</v>
      </c>
      <c r="X30" s="45" t="s">
        <v>433</v>
      </c>
      <c r="Y30" s="20"/>
      <c r="Z30" s="20"/>
      <c r="AA30" s="21" t="s">
        <v>434</v>
      </c>
    </row>
    <row r="31" ht="40.5" customHeight="1">
      <c r="A31" s="13">
        <v>29.0</v>
      </c>
      <c r="B31" s="14" t="s">
        <v>435</v>
      </c>
      <c r="C31" s="14" t="s">
        <v>436</v>
      </c>
      <c r="D31" s="14" t="s">
        <v>377</v>
      </c>
      <c r="E31" s="14" t="s">
        <v>437</v>
      </c>
      <c r="F31" s="26">
        <v>1493.0</v>
      </c>
      <c r="G31" s="26" t="s">
        <v>438</v>
      </c>
      <c r="H31" s="26">
        <v>28.0</v>
      </c>
      <c r="I31" s="14" t="s">
        <v>36</v>
      </c>
      <c r="J31" s="14">
        <v>28.0</v>
      </c>
      <c r="K31" s="14" t="s">
        <v>58</v>
      </c>
      <c r="L31" s="14" t="s">
        <v>439</v>
      </c>
      <c r="M31" s="14" t="s">
        <v>440</v>
      </c>
      <c r="N31" s="33" t="s">
        <v>913</v>
      </c>
      <c r="O31" s="14" t="s">
        <v>43</v>
      </c>
      <c r="P31" s="14" t="s">
        <v>43</v>
      </c>
      <c r="Q31" s="18" t="s">
        <v>442</v>
      </c>
      <c r="R31" s="18" t="s">
        <v>443</v>
      </c>
      <c r="S31" s="18" t="s">
        <v>444</v>
      </c>
      <c r="T31" s="18" t="s">
        <v>445</v>
      </c>
      <c r="U31" s="18" t="s">
        <v>446</v>
      </c>
      <c r="V31" s="18" t="s">
        <v>447</v>
      </c>
      <c r="W31" s="18" t="s">
        <v>50</v>
      </c>
      <c r="X31" s="47" t="s">
        <v>448</v>
      </c>
      <c r="Y31" s="20"/>
      <c r="Z31" s="20"/>
      <c r="AA31" s="20"/>
      <c r="AB31" s="71"/>
    </row>
    <row r="32" ht="40.5" customHeight="1">
      <c r="A32" s="13">
        <v>30.0</v>
      </c>
      <c r="B32" s="14" t="s">
        <v>449</v>
      </c>
      <c r="C32" s="14" t="s">
        <v>450</v>
      </c>
      <c r="D32" s="14" t="s">
        <v>377</v>
      </c>
      <c r="E32" s="14" t="s">
        <v>179</v>
      </c>
      <c r="F32" s="26">
        <v>3596.0</v>
      </c>
      <c r="G32" s="26" t="s">
        <v>451</v>
      </c>
      <c r="H32" s="26">
        <v>313.0</v>
      </c>
      <c r="I32" s="14" t="s">
        <v>36</v>
      </c>
      <c r="J32" s="14" t="s">
        <v>452</v>
      </c>
      <c r="K32" s="14" t="s">
        <v>236</v>
      </c>
      <c r="L32" s="14" t="s">
        <v>453</v>
      </c>
      <c r="M32" s="14" t="s">
        <v>454</v>
      </c>
      <c r="N32" s="14" t="s">
        <v>40</v>
      </c>
      <c r="O32" s="14" t="s">
        <v>42</v>
      </c>
      <c r="P32" s="14" t="s">
        <v>42</v>
      </c>
      <c r="Q32" s="18" t="s">
        <v>455</v>
      </c>
      <c r="R32" s="18" t="s">
        <v>456</v>
      </c>
      <c r="S32" s="18" t="s">
        <v>457</v>
      </c>
      <c r="T32" s="18" t="s">
        <v>458</v>
      </c>
      <c r="U32" s="18" t="s">
        <v>459</v>
      </c>
      <c r="V32" s="18" t="s">
        <v>460</v>
      </c>
      <c r="W32" s="18" t="s">
        <v>50</v>
      </c>
      <c r="X32" s="45" t="s">
        <v>461</v>
      </c>
      <c r="Y32" s="20"/>
      <c r="Z32" s="20"/>
      <c r="AA32" s="21" t="s">
        <v>373</v>
      </c>
    </row>
    <row r="33" ht="40.5" customHeight="1">
      <c r="A33" s="13">
        <v>31.0</v>
      </c>
      <c r="B33" s="14" t="s">
        <v>462</v>
      </c>
      <c r="C33" s="14" t="s">
        <v>463</v>
      </c>
      <c r="D33" s="14" t="s">
        <v>377</v>
      </c>
      <c r="E33" s="14" t="s">
        <v>179</v>
      </c>
      <c r="F33" s="26">
        <v>3600.0</v>
      </c>
      <c r="G33" s="26" t="s">
        <v>464</v>
      </c>
      <c r="H33" s="26">
        <v>72.0</v>
      </c>
      <c r="I33" s="14" t="s">
        <v>36</v>
      </c>
      <c r="J33" s="14">
        <v>56.0</v>
      </c>
      <c r="K33" s="14" t="s">
        <v>58</v>
      </c>
      <c r="L33" s="14" t="s">
        <v>465</v>
      </c>
      <c r="M33" s="14" t="s">
        <v>466</v>
      </c>
      <c r="N33" s="14" t="s">
        <v>467</v>
      </c>
      <c r="O33" s="14" t="s">
        <v>43</v>
      </c>
      <c r="P33" s="14" t="s">
        <v>43</v>
      </c>
      <c r="Q33" s="14" t="s">
        <v>468</v>
      </c>
      <c r="R33" s="14" t="s">
        <v>469</v>
      </c>
      <c r="S33" s="14" t="s">
        <v>470</v>
      </c>
      <c r="T33" s="14" t="s">
        <v>471</v>
      </c>
      <c r="U33" s="14" t="s">
        <v>472</v>
      </c>
      <c r="V33" s="18" t="s">
        <v>473</v>
      </c>
      <c r="W33" s="18" t="s">
        <v>50</v>
      </c>
      <c r="X33" s="47" t="s">
        <v>474</v>
      </c>
      <c r="Y33" s="20"/>
      <c r="Z33" s="20"/>
      <c r="AA33" s="21" t="s">
        <v>82</v>
      </c>
    </row>
    <row r="34" ht="40.5" customHeight="1">
      <c r="A34" s="13">
        <v>32.0</v>
      </c>
      <c r="B34" s="14" t="s">
        <v>475</v>
      </c>
      <c r="C34" s="14" t="s">
        <v>476</v>
      </c>
      <c r="D34" s="14" t="s">
        <v>477</v>
      </c>
      <c r="E34" s="14" t="s">
        <v>179</v>
      </c>
      <c r="F34" s="26">
        <v>824.0</v>
      </c>
      <c r="G34" s="23" t="s">
        <v>478</v>
      </c>
      <c r="H34" s="26">
        <v>60.0</v>
      </c>
      <c r="I34" s="58" t="s">
        <v>40</v>
      </c>
      <c r="J34" s="14">
        <v>20.0</v>
      </c>
      <c r="K34" s="14" t="s">
        <v>38</v>
      </c>
      <c r="L34" s="14" t="s">
        <v>479</v>
      </c>
      <c r="M34" s="14" t="s">
        <v>480</v>
      </c>
      <c r="N34" s="14" t="s">
        <v>481</v>
      </c>
      <c r="O34" s="14" t="s">
        <v>42</v>
      </c>
      <c r="P34" s="14" t="s">
        <v>42</v>
      </c>
      <c r="Q34" s="14" t="s">
        <v>482</v>
      </c>
      <c r="R34" s="14" t="s">
        <v>483</v>
      </c>
      <c r="S34" s="14" t="s">
        <v>484</v>
      </c>
      <c r="T34" s="14" t="s">
        <v>485</v>
      </c>
      <c r="U34" s="14" t="s">
        <v>486</v>
      </c>
      <c r="V34" s="14" t="s">
        <v>487</v>
      </c>
      <c r="W34" s="18" t="s">
        <v>50</v>
      </c>
      <c r="X34" s="33" t="s">
        <v>488</v>
      </c>
      <c r="Y34" s="19"/>
      <c r="Z34" s="20"/>
      <c r="AA34" s="21" t="s">
        <v>82</v>
      </c>
      <c r="AB34" s="71"/>
      <c r="AC34" s="44"/>
      <c r="AD34" s="44"/>
      <c r="AE34" s="44"/>
      <c r="AF34" s="44"/>
      <c r="AG34" s="44"/>
      <c r="AH34" s="44"/>
      <c r="AI34" s="44"/>
      <c r="AJ34" s="44"/>
      <c r="AK34" s="44"/>
      <c r="AL34" s="44"/>
      <c r="AM34" s="44"/>
      <c r="AN34" s="44"/>
      <c r="AO34" s="44"/>
    </row>
    <row r="35" ht="40.5" customHeight="1">
      <c r="A35" s="36">
        <v>33.0</v>
      </c>
      <c r="B35" s="14" t="s">
        <v>489</v>
      </c>
      <c r="C35" s="14" t="s">
        <v>490</v>
      </c>
      <c r="D35" s="14" t="s">
        <v>491</v>
      </c>
      <c r="E35" s="14" t="s">
        <v>68</v>
      </c>
      <c r="F35" s="26">
        <v>1490.0</v>
      </c>
      <c r="G35" s="26" t="s">
        <v>492</v>
      </c>
      <c r="H35" s="26">
        <v>374.0</v>
      </c>
      <c r="I35" s="14" t="s">
        <v>36</v>
      </c>
      <c r="J35" s="14" t="s">
        <v>914</v>
      </c>
      <c r="K35" s="14" t="s">
        <v>70</v>
      </c>
      <c r="L35" s="14" t="s">
        <v>494</v>
      </c>
      <c r="M35" s="14" t="s">
        <v>495</v>
      </c>
      <c r="N35" s="14" t="s">
        <v>467</v>
      </c>
      <c r="O35" s="14" t="s">
        <v>43</v>
      </c>
      <c r="P35" s="14" t="s">
        <v>43</v>
      </c>
      <c r="Q35" s="14" t="s">
        <v>40</v>
      </c>
      <c r="R35" s="14" t="s">
        <v>496</v>
      </c>
      <c r="S35" s="14" t="s">
        <v>497</v>
      </c>
      <c r="T35" s="14" t="s">
        <v>498</v>
      </c>
      <c r="U35" s="14" t="s">
        <v>499</v>
      </c>
      <c r="V35" s="14" t="s">
        <v>500</v>
      </c>
      <c r="W35" s="18" t="s">
        <v>50</v>
      </c>
      <c r="X35" s="25" t="s">
        <v>501</v>
      </c>
      <c r="Y35" s="19"/>
      <c r="Z35" s="20"/>
      <c r="AA35" s="21" t="s">
        <v>502</v>
      </c>
    </row>
    <row r="36" ht="40.5" customHeight="1">
      <c r="A36" s="13">
        <v>34.0</v>
      </c>
      <c r="B36" s="14" t="s">
        <v>503</v>
      </c>
      <c r="C36" s="14" t="s">
        <v>504</v>
      </c>
      <c r="D36" s="14" t="s">
        <v>505</v>
      </c>
      <c r="E36" s="14" t="s">
        <v>506</v>
      </c>
      <c r="F36" s="26">
        <v>94.0</v>
      </c>
      <c r="G36" s="26" t="s">
        <v>507</v>
      </c>
      <c r="H36" s="26">
        <v>297.0</v>
      </c>
      <c r="I36" s="14" t="s">
        <v>508</v>
      </c>
      <c r="J36" s="14">
        <v>297.0</v>
      </c>
      <c r="K36" s="14" t="s">
        <v>58</v>
      </c>
      <c r="L36" s="14" t="s">
        <v>509</v>
      </c>
      <c r="M36" s="14" t="s">
        <v>510</v>
      </c>
      <c r="N36" s="14" t="s">
        <v>40</v>
      </c>
      <c r="O36" s="14" t="s">
        <v>42</v>
      </c>
      <c r="P36" s="14" t="s">
        <v>43</v>
      </c>
      <c r="Q36" s="18" t="s">
        <v>511</v>
      </c>
      <c r="R36" s="18" t="s">
        <v>40</v>
      </c>
      <c r="S36" s="18" t="s">
        <v>40</v>
      </c>
      <c r="T36" s="18" t="s">
        <v>512</v>
      </c>
      <c r="U36" s="18" t="s">
        <v>513</v>
      </c>
      <c r="V36" s="18" t="s">
        <v>514</v>
      </c>
      <c r="W36" s="18" t="s">
        <v>50</v>
      </c>
      <c r="X36" s="18" t="s">
        <v>40</v>
      </c>
      <c r="Y36" s="18" t="s">
        <v>515</v>
      </c>
      <c r="Z36" s="48" t="s">
        <v>516</v>
      </c>
      <c r="AA36" s="21" t="s">
        <v>82</v>
      </c>
    </row>
    <row r="37" ht="40.5" customHeight="1">
      <c r="A37" s="13">
        <v>35.0</v>
      </c>
      <c r="B37" s="14" t="s">
        <v>518</v>
      </c>
      <c r="C37" s="14" t="s">
        <v>519</v>
      </c>
      <c r="D37" s="14" t="s">
        <v>505</v>
      </c>
      <c r="E37" s="14" t="s">
        <v>179</v>
      </c>
      <c r="F37" s="26">
        <v>120.0</v>
      </c>
      <c r="G37" s="26" t="s">
        <v>520</v>
      </c>
      <c r="H37" s="26">
        <v>60.0</v>
      </c>
      <c r="I37" s="14" t="s">
        <v>915</v>
      </c>
      <c r="J37" s="14">
        <v>30.0</v>
      </c>
      <c r="K37" s="14" t="s">
        <v>522</v>
      </c>
      <c r="L37" s="14" t="s">
        <v>523</v>
      </c>
      <c r="M37" s="14" t="s">
        <v>524</v>
      </c>
      <c r="N37" s="14" t="s">
        <v>40</v>
      </c>
      <c r="O37" s="14" t="s">
        <v>42</v>
      </c>
      <c r="P37" s="14" t="s">
        <v>42</v>
      </c>
      <c r="Q37" s="18" t="s">
        <v>525</v>
      </c>
      <c r="R37" s="18" t="s">
        <v>526</v>
      </c>
      <c r="S37" s="18" t="s">
        <v>527</v>
      </c>
      <c r="T37" s="18" t="s">
        <v>528</v>
      </c>
      <c r="U37" s="18" t="s">
        <v>529</v>
      </c>
      <c r="V37" s="18" t="s">
        <v>530</v>
      </c>
      <c r="W37" s="18" t="s">
        <v>50</v>
      </c>
      <c r="X37" s="47" t="s">
        <v>916</v>
      </c>
      <c r="Y37" s="20"/>
      <c r="Z37" s="20"/>
      <c r="AA37" s="21" t="s">
        <v>82</v>
      </c>
    </row>
    <row r="38" ht="40.5" customHeight="1">
      <c r="A38" s="72">
        <v>36.0</v>
      </c>
      <c r="B38" s="14" t="s">
        <v>532</v>
      </c>
      <c r="C38" s="14" t="s">
        <v>533</v>
      </c>
      <c r="D38" s="14" t="s">
        <v>505</v>
      </c>
      <c r="E38" s="14" t="s">
        <v>179</v>
      </c>
      <c r="F38" s="26">
        <v>200.0</v>
      </c>
      <c r="G38" s="26" t="s">
        <v>534</v>
      </c>
      <c r="H38" s="26">
        <v>340.0</v>
      </c>
      <c r="I38" s="26" t="s">
        <v>535</v>
      </c>
      <c r="J38" s="14">
        <v>20.0</v>
      </c>
      <c r="K38" s="14" t="s">
        <v>58</v>
      </c>
      <c r="L38" s="14" t="s">
        <v>536</v>
      </c>
      <c r="M38" s="14" t="s">
        <v>537</v>
      </c>
      <c r="N38" s="14" t="s">
        <v>40</v>
      </c>
      <c r="O38" s="14" t="s">
        <v>42</v>
      </c>
      <c r="P38" s="14" t="s">
        <v>43</v>
      </c>
      <c r="Q38" s="18" t="s">
        <v>538</v>
      </c>
      <c r="R38" s="18" t="s">
        <v>539</v>
      </c>
      <c r="S38" s="18" t="s">
        <v>540</v>
      </c>
      <c r="T38" s="18" t="s">
        <v>541</v>
      </c>
      <c r="U38" s="18" t="s">
        <v>542</v>
      </c>
      <c r="V38" s="18" t="s">
        <v>543</v>
      </c>
      <c r="W38" s="45" t="s">
        <v>544</v>
      </c>
      <c r="X38" s="45" t="s">
        <v>545</v>
      </c>
      <c r="Y38" s="20"/>
      <c r="Z38" s="20"/>
      <c r="AA38" s="21" t="s">
        <v>546</v>
      </c>
    </row>
    <row r="39" ht="40.5" customHeight="1">
      <c r="A39" s="13">
        <v>37.0</v>
      </c>
      <c r="B39" s="14" t="s">
        <v>547</v>
      </c>
      <c r="C39" s="14" t="s">
        <v>548</v>
      </c>
      <c r="D39" s="14" t="s">
        <v>505</v>
      </c>
      <c r="E39" s="14" t="s">
        <v>55</v>
      </c>
      <c r="F39" s="26">
        <v>417.0</v>
      </c>
      <c r="G39" s="26" t="s">
        <v>549</v>
      </c>
      <c r="H39" s="26">
        <v>250.0</v>
      </c>
      <c r="I39" s="14" t="s">
        <v>36</v>
      </c>
      <c r="J39" s="14" t="s">
        <v>550</v>
      </c>
      <c r="K39" s="14" t="s">
        <v>58</v>
      </c>
      <c r="L39" s="14" t="s">
        <v>551</v>
      </c>
      <c r="M39" s="14" t="s">
        <v>552</v>
      </c>
      <c r="N39" s="14" t="s">
        <v>40</v>
      </c>
      <c r="O39" s="14" t="s">
        <v>42</v>
      </c>
      <c r="P39" s="14" t="s">
        <v>42</v>
      </c>
      <c r="Q39" s="18" t="s">
        <v>553</v>
      </c>
      <c r="R39" s="18" t="s">
        <v>554</v>
      </c>
      <c r="S39" s="18" t="s">
        <v>555</v>
      </c>
      <c r="T39" s="18" t="s">
        <v>556</v>
      </c>
      <c r="U39" s="18" t="s">
        <v>557</v>
      </c>
      <c r="V39" s="18" t="s">
        <v>558</v>
      </c>
      <c r="W39" s="18" t="s">
        <v>50</v>
      </c>
      <c r="X39" s="47" t="s">
        <v>559</v>
      </c>
      <c r="Y39" s="20"/>
      <c r="Z39" s="20"/>
      <c r="AA39" s="21" t="s">
        <v>560</v>
      </c>
    </row>
    <row r="40" ht="40.5" customHeight="1">
      <c r="A40" s="13">
        <v>38.0</v>
      </c>
      <c r="B40" s="14" t="s">
        <v>561</v>
      </c>
      <c r="C40" s="14" t="s">
        <v>562</v>
      </c>
      <c r="D40" s="14" t="s">
        <v>505</v>
      </c>
      <c r="E40" s="14" t="s">
        <v>563</v>
      </c>
      <c r="F40" s="26">
        <v>512.0</v>
      </c>
      <c r="G40" s="26" t="s">
        <v>564</v>
      </c>
      <c r="H40" s="26">
        <v>1020.0</v>
      </c>
      <c r="I40" s="14" t="s">
        <v>565</v>
      </c>
      <c r="J40" s="14">
        <v>31.0</v>
      </c>
      <c r="K40" s="14" t="s">
        <v>58</v>
      </c>
      <c r="L40" s="14" t="s">
        <v>566</v>
      </c>
      <c r="M40" s="14" t="s">
        <v>567</v>
      </c>
      <c r="N40" s="14" t="s">
        <v>40</v>
      </c>
      <c r="O40" s="14" t="s">
        <v>42</v>
      </c>
      <c r="P40" s="14" t="s">
        <v>43</v>
      </c>
      <c r="Q40" s="18" t="s">
        <v>568</v>
      </c>
      <c r="R40" s="18" t="s">
        <v>569</v>
      </c>
      <c r="S40" s="18" t="s">
        <v>570</v>
      </c>
      <c r="T40" s="18" t="s">
        <v>571</v>
      </c>
      <c r="U40" s="18" t="s">
        <v>572</v>
      </c>
      <c r="V40" s="18" t="s">
        <v>573</v>
      </c>
      <c r="W40" s="18" t="s">
        <v>50</v>
      </c>
      <c r="X40" s="47" t="s">
        <v>917</v>
      </c>
      <c r="Y40" s="20"/>
      <c r="Z40" s="20"/>
      <c r="AA40" s="21" t="s">
        <v>82</v>
      </c>
    </row>
    <row r="41" ht="40.5" customHeight="1">
      <c r="A41" s="13">
        <v>39.0</v>
      </c>
      <c r="B41" s="14" t="s">
        <v>575</v>
      </c>
      <c r="C41" s="14" t="s">
        <v>576</v>
      </c>
      <c r="D41" s="14" t="s">
        <v>505</v>
      </c>
      <c r="E41" s="14" t="s">
        <v>577</v>
      </c>
      <c r="F41" s="26">
        <v>643.0</v>
      </c>
      <c r="G41" s="26" t="s">
        <v>578</v>
      </c>
      <c r="H41" s="26">
        <v>181.0</v>
      </c>
      <c r="I41" s="14" t="s">
        <v>579</v>
      </c>
      <c r="J41" s="14" t="s">
        <v>580</v>
      </c>
      <c r="K41" s="14" t="s">
        <v>58</v>
      </c>
      <c r="L41" s="14" t="s">
        <v>581</v>
      </c>
      <c r="M41" s="14" t="s">
        <v>582</v>
      </c>
      <c r="N41" s="14" t="s">
        <v>583</v>
      </c>
      <c r="O41" s="14" t="s">
        <v>42</v>
      </c>
      <c r="P41" s="14" t="s">
        <v>43</v>
      </c>
      <c r="Q41" s="18" t="s">
        <v>584</v>
      </c>
      <c r="R41" s="18" t="s">
        <v>585</v>
      </c>
      <c r="S41" s="18" t="s">
        <v>586</v>
      </c>
      <c r="T41" s="18" t="s">
        <v>587</v>
      </c>
      <c r="U41" s="18" t="s">
        <v>588</v>
      </c>
      <c r="V41" s="18" t="s">
        <v>589</v>
      </c>
      <c r="W41" s="54" t="s">
        <v>590</v>
      </c>
      <c r="X41" s="45" t="s">
        <v>590</v>
      </c>
      <c r="Y41" s="20"/>
      <c r="Z41" s="20"/>
      <c r="AA41" s="21" t="s">
        <v>82</v>
      </c>
    </row>
    <row r="42" ht="40.5" customHeight="1">
      <c r="A42" s="13">
        <v>40.0</v>
      </c>
      <c r="B42" s="14" t="s">
        <v>591</v>
      </c>
      <c r="C42" s="14" t="s">
        <v>592</v>
      </c>
      <c r="D42" s="14" t="s">
        <v>505</v>
      </c>
      <c r="E42" s="14" t="s">
        <v>593</v>
      </c>
      <c r="F42" s="26">
        <v>1121.0</v>
      </c>
      <c r="G42" s="26" t="s">
        <v>594</v>
      </c>
      <c r="H42" s="26">
        <v>400.0</v>
      </c>
      <c r="I42" s="14" t="s">
        <v>36</v>
      </c>
      <c r="J42" s="14">
        <v>20.0</v>
      </c>
      <c r="K42" s="14" t="s">
        <v>70</v>
      </c>
      <c r="L42" s="14" t="s">
        <v>595</v>
      </c>
      <c r="M42" s="14" t="s">
        <v>596</v>
      </c>
      <c r="N42" s="14" t="s">
        <v>40</v>
      </c>
      <c r="O42" s="14" t="s">
        <v>42</v>
      </c>
      <c r="P42" s="14" t="s">
        <v>43</v>
      </c>
      <c r="Q42" s="18" t="s">
        <v>597</v>
      </c>
      <c r="R42" s="18" t="s">
        <v>598</v>
      </c>
      <c r="S42" s="18" t="s">
        <v>599</v>
      </c>
      <c r="T42" s="14" t="s">
        <v>600</v>
      </c>
      <c r="U42" s="14" t="s">
        <v>601</v>
      </c>
      <c r="V42" s="14" t="s">
        <v>602</v>
      </c>
      <c r="W42" s="18" t="s">
        <v>50</v>
      </c>
      <c r="X42" s="45" t="s">
        <v>603</v>
      </c>
      <c r="Y42" s="20"/>
      <c r="Z42" s="20"/>
      <c r="AA42" s="21" t="s">
        <v>82</v>
      </c>
    </row>
    <row r="43" ht="40.5" customHeight="1">
      <c r="A43" s="13">
        <v>41.0</v>
      </c>
      <c r="B43" s="14" t="s">
        <v>604</v>
      </c>
      <c r="C43" s="14" t="s">
        <v>605</v>
      </c>
      <c r="D43" s="14" t="s">
        <v>505</v>
      </c>
      <c r="E43" s="14" t="s">
        <v>179</v>
      </c>
      <c r="F43" s="26">
        <v>964.0</v>
      </c>
      <c r="G43" s="26" t="s">
        <v>606</v>
      </c>
      <c r="H43" s="26">
        <v>542.0</v>
      </c>
      <c r="I43" s="14" t="s">
        <v>607</v>
      </c>
      <c r="J43" s="14" t="s">
        <v>608</v>
      </c>
      <c r="K43" s="14" t="s">
        <v>58</v>
      </c>
      <c r="L43" s="14" t="s">
        <v>609</v>
      </c>
      <c r="M43" s="14" t="s">
        <v>610</v>
      </c>
      <c r="N43" s="14" t="s">
        <v>611</v>
      </c>
      <c r="O43" s="14" t="s">
        <v>42</v>
      </c>
      <c r="P43" s="14" t="s">
        <v>42</v>
      </c>
      <c r="Q43" s="18" t="s">
        <v>612</v>
      </c>
      <c r="R43" s="18" t="s">
        <v>613</v>
      </c>
      <c r="S43" s="18" t="s">
        <v>614</v>
      </c>
      <c r="T43" s="18" t="s">
        <v>615</v>
      </c>
      <c r="U43" s="18" t="s">
        <v>616</v>
      </c>
      <c r="V43" s="18" t="s">
        <v>617</v>
      </c>
      <c r="W43" s="18" t="s">
        <v>50</v>
      </c>
      <c r="X43" s="45" t="s">
        <v>918</v>
      </c>
      <c r="Y43" s="20"/>
      <c r="Z43" s="20"/>
      <c r="AA43" s="21" t="s">
        <v>82</v>
      </c>
    </row>
    <row r="44" ht="40.5" customHeight="1">
      <c r="A44" s="13">
        <v>42.0</v>
      </c>
      <c r="B44" s="14" t="s">
        <v>619</v>
      </c>
      <c r="C44" s="14" t="s">
        <v>620</v>
      </c>
      <c r="D44" s="14" t="s">
        <v>621</v>
      </c>
      <c r="E44" s="14" t="s">
        <v>55</v>
      </c>
      <c r="F44" s="26">
        <v>10515.0</v>
      </c>
      <c r="G44" s="26" t="s">
        <v>622</v>
      </c>
      <c r="H44" s="26">
        <v>40.0</v>
      </c>
      <c r="I44" s="26" t="s">
        <v>623</v>
      </c>
      <c r="J44" s="14" t="s">
        <v>624</v>
      </c>
      <c r="K44" s="14" t="s">
        <v>58</v>
      </c>
      <c r="L44" s="14" t="s">
        <v>625</v>
      </c>
      <c r="M44" s="14" t="s">
        <v>626</v>
      </c>
      <c r="N44" s="14" t="s">
        <v>40</v>
      </c>
      <c r="O44" s="14" t="s">
        <v>42</v>
      </c>
      <c r="P44" s="14" t="s">
        <v>42</v>
      </c>
      <c r="Q44" s="18" t="s">
        <v>627</v>
      </c>
      <c r="R44" s="18" t="s">
        <v>628</v>
      </c>
      <c r="S44" s="18" t="s">
        <v>629</v>
      </c>
      <c r="T44" s="18" t="s">
        <v>630</v>
      </c>
      <c r="U44" s="18" t="s">
        <v>631</v>
      </c>
      <c r="V44" s="18" t="s">
        <v>40</v>
      </c>
      <c r="W44" s="18" t="s">
        <v>632</v>
      </c>
      <c r="X44" s="18" t="s">
        <v>632</v>
      </c>
      <c r="Y44" s="20"/>
      <c r="Z44" s="20"/>
      <c r="AA44" s="21" t="s">
        <v>82</v>
      </c>
    </row>
    <row r="45" ht="40.5" customHeight="1">
      <c r="A45" s="13">
        <v>43.0</v>
      </c>
      <c r="B45" s="14" t="s">
        <v>633</v>
      </c>
      <c r="C45" s="14" t="s">
        <v>634</v>
      </c>
      <c r="D45" s="14" t="s">
        <v>635</v>
      </c>
      <c r="E45" s="14" t="s">
        <v>179</v>
      </c>
      <c r="F45" s="26">
        <v>718.0</v>
      </c>
      <c r="G45" s="23" t="s">
        <v>636</v>
      </c>
      <c r="H45" s="26">
        <v>463.0</v>
      </c>
      <c r="I45" s="14" t="s">
        <v>637</v>
      </c>
      <c r="J45" s="14" t="s">
        <v>638</v>
      </c>
      <c r="K45" s="14" t="s">
        <v>38</v>
      </c>
      <c r="L45" s="14" t="s">
        <v>40</v>
      </c>
      <c r="M45" s="14" t="s">
        <v>639</v>
      </c>
      <c r="N45" s="14" t="s">
        <v>40</v>
      </c>
      <c r="O45" s="14" t="s">
        <v>42</v>
      </c>
      <c r="P45" s="14" t="s">
        <v>319</v>
      </c>
      <c r="Q45" s="14" t="s">
        <v>640</v>
      </c>
      <c r="R45" s="14" t="s">
        <v>641</v>
      </c>
      <c r="S45" s="14" t="s">
        <v>642</v>
      </c>
      <c r="T45" s="14" t="s">
        <v>643</v>
      </c>
      <c r="U45" s="14" t="s">
        <v>644</v>
      </c>
      <c r="V45" s="14" t="s">
        <v>645</v>
      </c>
      <c r="W45" s="14" t="s">
        <v>50</v>
      </c>
      <c r="X45" s="25" t="s">
        <v>646</v>
      </c>
      <c r="Y45" s="14" t="s">
        <v>647</v>
      </c>
      <c r="Z45" s="18" t="s">
        <v>648</v>
      </c>
      <c r="AA45" s="21" t="s">
        <v>82</v>
      </c>
      <c r="AB45" s="44"/>
      <c r="AC45" s="44"/>
      <c r="AD45" s="44"/>
      <c r="AE45" s="44"/>
      <c r="AF45" s="44"/>
      <c r="AG45" s="44"/>
      <c r="AH45" s="44"/>
      <c r="AI45" s="44"/>
      <c r="AJ45" s="44"/>
      <c r="AK45" s="44"/>
      <c r="AL45" s="44"/>
      <c r="AM45" s="44"/>
      <c r="AN45" s="44"/>
      <c r="AO45" s="44"/>
    </row>
    <row r="46" ht="40.5" customHeight="1">
      <c r="A46" s="13">
        <v>44.0</v>
      </c>
      <c r="B46" s="14" t="s">
        <v>649</v>
      </c>
      <c r="C46" s="14" t="s">
        <v>650</v>
      </c>
      <c r="D46" s="14" t="s">
        <v>651</v>
      </c>
      <c r="E46" s="14" t="s">
        <v>68</v>
      </c>
      <c r="F46" s="26">
        <v>80.0</v>
      </c>
      <c r="G46" s="23" t="s">
        <v>652</v>
      </c>
      <c r="H46" s="26">
        <v>18.0</v>
      </c>
      <c r="I46" s="14" t="s">
        <v>36</v>
      </c>
      <c r="J46" s="14" t="s">
        <v>40</v>
      </c>
      <c r="K46" s="14" t="s">
        <v>58</v>
      </c>
      <c r="L46" s="14" t="s">
        <v>653</v>
      </c>
      <c r="M46" s="14" t="s">
        <v>40</v>
      </c>
      <c r="N46" s="14" t="s">
        <v>40</v>
      </c>
      <c r="O46" s="14" t="s">
        <v>42</v>
      </c>
      <c r="P46" s="14" t="s">
        <v>43</v>
      </c>
      <c r="Q46" s="14" t="s">
        <v>654</v>
      </c>
      <c r="R46" s="14" t="s">
        <v>655</v>
      </c>
      <c r="S46" s="14" t="s">
        <v>656</v>
      </c>
      <c r="T46" s="14" t="s">
        <v>657</v>
      </c>
      <c r="U46" s="14" t="s">
        <v>658</v>
      </c>
      <c r="V46" s="14" t="s">
        <v>659</v>
      </c>
      <c r="W46" s="14" t="s">
        <v>50</v>
      </c>
      <c r="X46" s="25" t="s">
        <v>660</v>
      </c>
      <c r="Y46" s="14" t="s">
        <v>647</v>
      </c>
      <c r="Z46" s="20"/>
      <c r="AA46" s="21" t="s">
        <v>82</v>
      </c>
    </row>
    <row r="47" ht="40.5" customHeight="1">
      <c r="A47" s="13">
        <v>45.0</v>
      </c>
      <c r="B47" s="14" t="s">
        <v>661</v>
      </c>
      <c r="C47" s="14" t="s">
        <v>662</v>
      </c>
      <c r="D47" s="14" t="s">
        <v>651</v>
      </c>
      <c r="E47" s="14" t="s">
        <v>663</v>
      </c>
      <c r="F47" s="26">
        <v>3800.0</v>
      </c>
      <c r="G47" s="26" t="s">
        <v>664</v>
      </c>
      <c r="H47" s="26">
        <v>2357.0</v>
      </c>
      <c r="I47" s="14" t="s">
        <v>36</v>
      </c>
      <c r="J47" s="14" t="s">
        <v>665</v>
      </c>
      <c r="K47" s="14" t="s">
        <v>58</v>
      </c>
      <c r="L47" s="14" t="s">
        <v>666</v>
      </c>
      <c r="M47" s="14" t="s">
        <v>667</v>
      </c>
      <c r="N47" s="14" t="s">
        <v>467</v>
      </c>
      <c r="O47" s="14" t="s">
        <v>43</v>
      </c>
      <c r="P47" s="14" t="s">
        <v>43</v>
      </c>
      <c r="Q47" s="18" t="s">
        <v>668</v>
      </c>
      <c r="R47" s="18" t="s">
        <v>669</v>
      </c>
      <c r="S47" s="18" t="s">
        <v>670</v>
      </c>
      <c r="T47" s="18" t="s">
        <v>671</v>
      </c>
      <c r="U47" s="18" t="s">
        <v>672</v>
      </c>
      <c r="V47" s="18" t="s">
        <v>673</v>
      </c>
      <c r="W47" s="18" t="s">
        <v>50</v>
      </c>
      <c r="X47" s="45" t="s">
        <v>674</v>
      </c>
      <c r="Y47" s="20"/>
      <c r="Z47" s="20"/>
      <c r="AA47" s="21" t="s">
        <v>546</v>
      </c>
    </row>
    <row r="48" ht="40.5" customHeight="1">
      <c r="A48" s="13">
        <v>46.0</v>
      </c>
      <c r="B48" s="14" t="s">
        <v>675</v>
      </c>
      <c r="C48" s="14" t="s">
        <v>676</v>
      </c>
      <c r="D48" s="14" t="s">
        <v>677</v>
      </c>
      <c r="E48" s="14" t="s">
        <v>179</v>
      </c>
      <c r="F48" s="26">
        <v>506.0</v>
      </c>
      <c r="G48" s="26" t="s">
        <v>678</v>
      </c>
      <c r="H48" s="26">
        <v>558.0</v>
      </c>
      <c r="I48" s="14" t="s">
        <v>36</v>
      </c>
      <c r="J48" s="14" t="s">
        <v>679</v>
      </c>
      <c r="K48" s="14" t="s">
        <v>58</v>
      </c>
      <c r="L48" s="14" t="s">
        <v>680</v>
      </c>
      <c r="M48" s="14" t="s">
        <v>681</v>
      </c>
      <c r="N48" s="14" t="s">
        <v>40</v>
      </c>
      <c r="O48" s="14" t="s">
        <v>43</v>
      </c>
      <c r="P48" s="14" t="s">
        <v>43</v>
      </c>
      <c r="Q48" s="18" t="s">
        <v>682</v>
      </c>
      <c r="R48" s="18" t="s">
        <v>683</v>
      </c>
      <c r="S48" s="18" t="s">
        <v>684</v>
      </c>
      <c r="T48" s="18" t="s">
        <v>685</v>
      </c>
      <c r="U48" s="18" t="s">
        <v>686</v>
      </c>
      <c r="V48" s="18" t="s">
        <v>687</v>
      </c>
      <c r="W48" s="18" t="s">
        <v>50</v>
      </c>
      <c r="X48" s="45" t="s">
        <v>688</v>
      </c>
      <c r="Y48" s="20"/>
      <c r="Z48" s="20"/>
      <c r="AA48" s="21" t="s">
        <v>82</v>
      </c>
      <c r="AB48" s="71"/>
    </row>
    <row r="49" ht="40.5" customHeight="1">
      <c r="A49" s="13">
        <v>47.0</v>
      </c>
      <c r="B49" s="14" t="s">
        <v>689</v>
      </c>
      <c r="C49" s="14" t="s">
        <v>690</v>
      </c>
      <c r="D49" s="14" t="s">
        <v>691</v>
      </c>
      <c r="E49" s="14" t="s">
        <v>55</v>
      </c>
      <c r="F49" s="26">
        <v>330.0</v>
      </c>
      <c r="G49" s="26" t="s">
        <v>692</v>
      </c>
      <c r="H49" s="26">
        <v>102.0</v>
      </c>
      <c r="I49" s="14" t="s">
        <v>36</v>
      </c>
      <c r="J49" s="14">
        <v>102.0</v>
      </c>
      <c r="K49" s="14" t="s">
        <v>58</v>
      </c>
      <c r="L49" s="14" t="s">
        <v>693</v>
      </c>
      <c r="M49" s="14" t="s">
        <v>694</v>
      </c>
      <c r="N49" s="14" t="s">
        <v>695</v>
      </c>
      <c r="O49" s="14" t="s">
        <v>43</v>
      </c>
      <c r="P49" s="14" t="s">
        <v>43</v>
      </c>
      <c r="Q49" s="18" t="s">
        <v>696</v>
      </c>
      <c r="R49" s="18" t="s">
        <v>697</v>
      </c>
      <c r="S49" s="18" t="s">
        <v>698</v>
      </c>
      <c r="T49" s="18" t="s">
        <v>699</v>
      </c>
      <c r="U49" s="18" t="s">
        <v>700</v>
      </c>
      <c r="V49" s="18" t="s">
        <v>701</v>
      </c>
      <c r="W49" s="18" t="s">
        <v>50</v>
      </c>
      <c r="X49" s="45" t="s">
        <v>702</v>
      </c>
      <c r="Y49" s="20"/>
      <c r="Z49" s="20"/>
      <c r="AA49" s="21" t="s">
        <v>82</v>
      </c>
      <c r="AB49" s="71"/>
    </row>
    <row r="50" ht="40.5" customHeight="1">
      <c r="A50" s="13">
        <v>48.0</v>
      </c>
      <c r="B50" s="14" t="s">
        <v>703</v>
      </c>
      <c r="C50" s="14" t="s">
        <v>704</v>
      </c>
      <c r="D50" s="14" t="s">
        <v>691</v>
      </c>
      <c r="E50" s="14" t="s">
        <v>179</v>
      </c>
      <c r="F50" s="26">
        <v>372.0</v>
      </c>
      <c r="G50" s="26" t="s">
        <v>705</v>
      </c>
      <c r="H50" s="26">
        <v>80.0</v>
      </c>
      <c r="I50" s="14" t="s">
        <v>36</v>
      </c>
      <c r="J50" s="14">
        <v>20.0</v>
      </c>
      <c r="K50" s="14" t="s">
        <v>58</v>
      </c>
      <c r="L50" s="14" t="s">
        <v>706</v>
      </c>
      <c r="M50" s="14" t="s">
        <v>707</v>
      </c>
      <c r="N50" s="14" t="s">
        <v>708</v>
      </c>
      <c r="O50" s="14" t="s">
        <v>42</v>
      </c>
      <c r="P50" s="14" t="s">
        <v>43</v>
      </c>
      <c r="Q50" s="18" t="s">
        <v>40</v>
      </c>
      <c r="R50" s="18" t="s">
        <v>40</v>
      </c>
      <c r="S50" s="18" t="s">
        <v>40</v>
      </c>
      <c r="T50" s="18" t="s">
        <v>709</v>
      </c>
      <c r="U50" s="18" t="s">
        <v>710</v>
      </c>
      <c r="V50" s="18" t="s">
        <v>711</v>
      </c>
      <c r="W50" s="18" t="s">
        <v>50</v>
      </c>
      <c r="X50" s="45" t="s">
        <v>712</v>
      </c>
      <c r="Y50" s="20"/>
      <c r="Z50" s="20"/>
      <c r="AA50" s="21" t="s">
        <v>82</v>
      </c>
    </row>
    <row r="51" ht="40.5" customHeight="1">
      <c r="A51" s="13">
        <v>49.0</v>
      </c>
      <c r="B51" s="14" t="s">
        <v>713</v>
      </c>
      <c r="C51" s="14" t="s">
        <v>714</v>
      </c>
      <c r="D51" s="14" t="s">
        <v>691</v>
      </c>
      <c r="E51" s="14" t="s">
        <v>179</v>
      </c>
      <c r="F51" s="26">
        <v>380.0</v>
      </c>
      <c r="G51" s="26" t="s">
        <v>715</v>
      </c>
      <c r="H51" s="26">
        <v>200.0</v>
      </c>
      <c r="I51" s="14" t="s">
        <v>36</v>
      </c>
      <c r="J51" s="14" t="s">
        <v>716</v>
      </c>
      <c r="K51" s="14" t="s">
        <v>70</v>
      </c>
      <c r="L51" s="14" t="s">
        <v>717</v>
      </c>
      <c r="M51" s="14" t="s">
        <v>919</v>
      </c>
      <c r="N51" s="14" t="s">
        <v>719</v>
      </c>
      <c r="O51" s="14" t="s">
        <v>42</v>
      </c>
      <c r="P51" s="14" t="s">
        <v>43</v>
      </c>
      <c r="Q51" s="18" t="s">
        <v>720</v>
      </c>
      <c r="R51" s="18" t="s">
        <v>40</v>
      </c>
      <c r="S51" s="18" t="s">
        <v>40</v>
      </c>
      <c r="T51" s="18" t="s">
        <v>721</v>
      </c>
      <c r="U51" s="18" t="s">
        <v>722</v>
      </c>
      <c r="V51" s="18" t="s">
        <v>723</v>
      </c>
      <c r="W51" s="18" t="s">
        <v>50</v>
      </c>
      <c r="X51" s="54" t="s">
        <v>724</v>
      </c>
      <c r="Y51" s="20"/>
      <c r="Z51" s="20"/>
      <c r="AA51" s="14" t="s">
        <v>82</v>
      </c>
    </row>
    <row r="52" ht="40.5" customHeight="1">
      <c r="A52" s="13">
        <v>50.0</v>
      </c>
      <c r="B52" s="14" t="s">
        <v>725</v>
      </c>
      <c r="C52" s="14" t="s">
        <v>726</v>
      </c>
      <c r="D52" s="14" t="s">
        <v>691</v>
      </c>
      <c r="E52" s="14" t="s">
        <v>55</v>
      </c>
      <c r="F52" s="26">
        <v>500.0</v>
      </c>
      <c r="G52" s="26" t="s">
        <v>727</v>
      </c>
      <c r="H52" s="26">
        <v>50.0</v>
      </c>
      <c r="I52" s="14" t="s">
        <v>728</v>
      </c>
      <c r="J52" s="14">
        <v>25.0</v>
      </c>
      <c r="K52" s="14" t="s">
        <v>58</v>
      </c>
      <c r="L52" s="14" t="s">
        <v>729</v>
      </c>
      <c r="M52" s="14" t="s">
        <v>730</v>
      </c>
      <c r="N52" s="14" t="s">
        <v>481</v>
      </c>
      <c r="O52" s="14" t="s">
        <v>42</v>
      </c>
      <c r="P52" s="14" t="s">
        <v>43</v>
      </c>
      <c r="Q52" s="18" t="s">
        <v>40</v>
      </c>
      <c r="R52" s="18" t="s">
        <v>731</v>
      </c>
      <c r="S52" s="18" t="s">
        <v>732</v>
      </c>
      <c r="T52" s="18" t="s">
        <v>733</v>
      </c>
      <c r="U52" s="18" t="s">
        <v>734</v>
      </c>
      <c r="V52" s="18" t="s">
        <v>735</v>
      </c>
      <c r="W52" s="18" t="s">
        <v>50</v>
      </c>
      <c r="X52" s="47" t="s">
        <v>736</v>
      </c>
      <c r="Y52" s="20"/>
      <c r="Z52" s="20"/>
      <c r="AA52" s="21" t="s">
        <v>82</v>
      </c>
    </row>
    <row r="53" ht="40.5" customHeight="1">
      <c r="A53" s="13">
        <v>51.0</v>
      </c>
      <c r="B53" s="14" t="s">
        <v>920</v>
      </c>
      <c r="C53" s="14" t="s">
        <v>738</v>
      </c>
      <c r="D53" s="14" t="s">
        <v>691</v>
      </c>
      <c r="E53" s="14" t="s">
        <v>179</v>
      </c>
      <c r="F53" s="26">
        <v>820.0</v>
      </c>
      <c r="G53" s="26" t="s">
        <v>739</v>
      </c>
      <c r="H53" s="26">
        <v>152.0</v>
      </c>
      <c r="I53" s="14" t="s">
        <v>36</v>
      </c>
      <c r="J53" s="14" t="s">
        <v>740</v>
      </c>
      <c r="K53" s="14" t="s">
        <v>38</v>
      </c>
      <c r="L53" s="14" t="s">
        <v>741</v>
      </c>
      <c r="M53" s="14" t="s">
        <v>742</v>
      </c>
      <c r="N53" s="14" t="s">
        <v>40</v>
      </c>
      <c r="O53" s="14" t="s">
        <v>42</v>
      </c>
      <c r="P53" s="14" t="s">
        <v>93</v>
      </c>
      <c r="Q53" s="18" t="s">
        <v>743</v>
      </c>
      <c r="R53" s="18" t="s">
        <v>744</v>
      </c>
      <c r="S53" s="18" t="s">
        <v>745</v>
      </c>
      <c r="T53" s="18" t="s">
        <v>746</v>
      </c>
      <c r="U53" s="18" t="s">
        <v>747</v>
      </c>
      <c r="V53" s="18" t="s">
        <v>748</v>
      </c>
      <c r="W53" s="18" t="s">
        <v>50</v>
      </c>
      <c r="X53" s="45" t="s">
        <v>749</v>
      </c>
      <c r="Y53" s="18" t="s">
        <v>647</v>
      </c>
      <c r="Z53" s="20"/>
      <c r="AA53" s="21" t="s">
        <v>373</v>
      </c>
    </row>
    <row r="54" ht="40.5" customHeight="1">
      <c r="A54" s="13">
        <v>52.0</v>
      </c>
      <c r="B54" s="14" t="s">
        <v>750</v>
      </c>
      <c r="C54" s="14" t="s">
        <v>751</v>
      </c>
      <c r="D54" s="14" t="s">
        <v>691</v>
      </c>
      <c r="E54" s="14" t="s">
        <v>68</v>
      </c>
      <c r="F54" s="26">
        <v>875.0</v>
      </c>
      <c r="G54" s="26" t="s">
        <v>752</v>
      </c>
      <c r="H54" s="26">
        <v>270.0</v>
      </c>
      <c r="I54" s="14" t="s">
        <v>753</v>
      </c>
      <c r="J54" s="14">
        <v>30.0</v>
      </c>
      <c r="K54" s="14" t="s">
        <v>70</v>
      </c>
      <c r="L54" s="14" t="s">
        <v>754</v>
      </c>
      <c r="M54" s="14" t="s">
        <v>755</v>
      </c>
      <c r="N54" s="14" t="s">
        <v>756</v>
      </c>
      <c r="O54" s="14" t="s">
        <v>42</v>
      </c>
      <c r="P54" s="14" t="s">
        <v>43</v>
      </c>
      <c r="Q54" s="18" t="s">
        <v>40</v>
      </c>
      <c r="R54" s="18" t="s">
        <v>757</v>
      </c>
      <c r="S54" s="18" t="s">
        <v>758</v>
      </c>
      <c r="T54" s="18" t="s">
        <v>759</v>
      </c>
      <c r="U54" s="18" t="s">
        <v>760</v>
      </c>
      <c r="V54" s="18" t="s">
        <v>761</v>
      </c>
      <c r="W54" s="18" t="s">
        <v>50</v>
      </c>
      <c r="X54" s="45" t="s">
        <v>762</v>
      </c>
      <c r="Y54" s="18" t="s">
        <v>647</v>
      </c>
      <c r="Z54" s="20"/>
      <c r="AA54" s="21" t="s">
        <v>82</v>
      </c>
    </row>
    <row r="55" ht="40.5" customHeight="1">
      <c r="A55" s="13">
        <v>53.0</v>
      </c>
      <c r="B55" s="14" t="s">
        <v>763</v>
      </c>
      <c r="C55" s="14" t="s">
        <v>764</v>
      </c>
      <c r="D55" s="14" t="s">
        <v>691</v>
      </c>
      <c r="E55" s="14" t="s">
        <v>68</v>
      </c>
      <c r="F55" s="26">
        <v>1034.0</v>
      </c>
      <c r="G55" s="26" t="s">
        <v>765</v>
      </c>
      <c r="H55" s="26">
        <v>169.0</v>
      </c>
      <c r="I55" s="18" t="s">
        <v>766</v>
      </c>
      <c r="J55" s="14" t="s">
        <v>767</v>
      </c>
      <c r="K55" s="14" t="s">
        <v>70</v>
      </c>
      <c r="L55" s="14" t="s">
        <v>768</v>
      </c>
      <c r="M55" s="14" t="s">
        <v>769</v>
      </c>
      <c r="N55" s="14" t="s">
        <v>770</v>
      </c>
      <c r="O55" s="14" t="s">
        <v>42</v>
      </c>
      <c r="P55" s="14" t="s">
        <v>43</v>
      </c>
      <c r="Q55" s="18" t="s">
        <v>771</v>
      </c>
      <c r="R55" s="18" t="s">
        <v>772</v>
      </c>
      <c r="S55" s="18" t="s">
        <v>773</v>
      </c>
      <c r="T55" s="18" t="s">
        <v>774</v>
      </c>
      <c r="U55" s="18" t="s">
        <v>775</v>
      </c>
      <c r="V55" s="18" t="s">
        <v>776</v>
      </c>
      <c r="W55" s="18" t="s">
        <v>50</v>
      </c>
      <c r="X55" s="45" t="s">
        <v>777</v>
      </c>
      <c r="Y55" s="20"/>
      <c r="Z55" s="20"/>
      <c r="AA55" s="21" t="s">
        <v>82</v>
      </c>
    </row>
    <row r="56" ht="40.5" customHeight="1">
      <c r="A56" s="13">
        <v>54.0</v>
      </c>
      <c r="B56" s="14" t="s">
        <v>778</v>
      </c>
      <c r="C56" s="14" t="s">
        <v>779</v>
      </c>
      <c r="D56" s="14" t="s">
        <v>691</v>
      </c>
      <c r="E56" s="14" t="s">
        <v>780</v>
      </c>
      <c r="F56" s="26">
        <v>1400.0</v>
      </c>
      <c r="G56" s="26" t="s">
        <v>781</v>
      </c>
      <c r="H56" s="26">
        <v>826.0</v>
      </c>
      <c r="I56" s="14" t="s">
        <v>782</v>
      </c>
      <c r="J56" s="14" t="s">
        <v>783</v>
      </c>
      <c r="K56" s="14" t="s">
        <v>58</v>
      </c>
      <c r="L56" s="14" t="s">
        <v>784</v>
      </c>
      <c r="M56" s="14" t="s">
        <v>785</v>
      </c>
      <c r="N56" s="14" t="s">
        <v>786</v>
      </c>
      <c r="O56" s="14" t="s">
        <v>42</v>
      </c>
      <c r="P56" s="14" t="s">
        <v>93</v>
      </c>
      <c r="Q56" s="18" t="s">
        <v>787</v>
      </c>
      <c r="R56" s="18" t="s">
        <v>788</v>
      </c>
      <c r="S56" s="18" t="s">
        <v>789</v>
      </c>
      <c r="T56" s="18" t="s">
        <v>790</v>
      </c>
      <c r="U56" s="18" t="s">
        <v>791</v>
      </c>
      <c r="V56" s="18" t="s">
        <v>792</v>
      </c>
      <c r="W56" s="18" t="s">
        <v>50</v>
      </c>
      <c r="X56" s="45" t="s">
        <v>793</v>
      </c>
      <c r="Y56" s="20"/>
      <c r="Z56" s="20"/>
      <c r="AA56" s="21" t="s">
        <v>921</v>
      </c>
    </row>
    <row r="57" ht="40.5" customHeight="1">
      <c r="A57" s="13">
        <v>55.0</v>
      </c>
      <c r="B57" s="14" t="s">
        <v>795</v>
      </c>
      <c r="C57" s="14" t="s">
        <v>796</v>
      </c>
      <c r="D57" s="14" t="s">
        <v>797</v>
      </c>
      <c r="E57" s="14" t="s">
        <v>798</v>
      </c>
      <c r="F57" s="26">
        <v>320.0</v>
      </c>
      <c r="G57" s="26" t="s">
        <v>799</v>
      </c>
      <c r="H57" s="26">
        <v>600.0</v>
      </c>
      <c r="I57" s="14" t="s">
        <v>36</v>
      </c>
      <c r="J57" s="14">
        <v>30.0</v>
      </c>
      <c r="K57" s="14" t="s">
        <v>58</v>
      </c>
      <c r="L57" s="14" t="s">
        <v>800</v>
      </c>
      <c r="M57" s="14" t="s">
        <v>801</v>
      </c>
      <c r="N57" s="14" t="s">
        <v>40</v>
      </c>
      <c r="O57" s="14" t="s">
        <v>42</v>
      </c>
      <c r="P57" s="14" t="s">
        <v>43</v>
      </c>
      <c r="Q57" s="14" t="s">
        <v>802</v>
      </c>
      <c r="R57" s="18" t="s">
        <v>40</v>
      </c>
      <c r="S57" s="18" t="s">
        <v>40</v>
      </c>
      <c r="T57" s="18" t="s">
        <v>803</v>
      </c>
      <c r="U57" s="14" t="s">
        <v>804</v>
      </c>
      <c r="V57" s="14" t="s">
        <v>805</v>
      </c>
      <c r="W57" s="14" t="s">
        <v>50</v>
      </c>
      <c r="X57" s="14" t="s">
        <v>806</v>
      </c>
      <c r="Y57" s="20"/>
      <c r="Z57" s="20"/>
      <c r="AA57" s="21" t="s">
        <v>502</v>
      </c>
    </row>
    <row r="58" ht="40.5" customHeight="1">
      <c r="A58" s="13">
        <v>56.0</v>
      </c>
      <c r="B58" s="14" t="s">
        <v>807</v>
      </c>
      <c r="C58" s="14" t="s">
        <v>808</v>
      </c>
      <c r="D58" s="14" t="s">
        <v>797</v>
      </c>
      <c r="E58" s="14" t="s">
        <v>55</v>
      </c>
      <c r="F58" s="26">
        <v>503.0</v>
      </c>
      <c r="G58" s="26" t="s">
        <v>809</v>
      </c>
      <c r="H58" s="26">
        <v>117.0</v>
      </c>
      <c r="I58" s="14" t="s">
        <v>810</v>
      </c>
      <c r="J58" s="14" t="s">
        <v>811</v>
      </c>
      <c r="K58" s="14" t="s">
        <v>58</v>
      </c>
      <c r="L58" s="59" t="s">
        <v>812</v>
      </c>
      <c r="M58" s="14" t="s">
        <v>813</v>
      </c>
      <c r="N58" s="14" t="s">
        <v>40</v>
      </c>
      <c r="O58" s="14" t="s">
        <v>42</v>
      </c>
      <c r="P58" s="14" t="s">
        <v>43</v>
      </c>
      <c r="Q58" s="14" t="s">
        <v>814</v>
      </c>
      <c r="R58" s="14" t="s">
        <v>815</v>
      </c>
      <c r="S58" s="14" t="s">
        <v>816</v>
      </c>
      <c r="T58" s="14" t="s">
        <v>817</v>
      </c>
      <c r="U58" s="14" t="s">
        <v>818</v>
      </c>
      <c r="V58" s="14" t="s">
        <v>819</v>
      </c>
      <c r="W58" s="25" t="s">
        <v>820</v>
      </c>
      <c r="X58" s="25" t="s">
        <v>821</v>
      </c>
      <c r="Y58" s="19"/>
      <c r="Z58" s="20"/>
      <c r="AA58" s="21" t="s">
        <v>82</v>
      </c>
      <c r="AB58" s="44"/>
      <c r="AC58" s="44"/>
      <c r="AD58" s="44"/>
      <c r="AE58" s="44"/>
      <c r="AF58" s="44"/>
      <c r="AG58" s="44"/>
      <c r="AH58" s="44"/>
      <c r="AI58" s="44"/>
      <c r="AJ58" s="44"/>
      <c r="AK58" s="44"/>
      <c r="AL58" s="44"/>
      <c r="AM58" s="44"/>
      <c r="AN58" s="44"/>
      <c r="AO58" s="44"/>
    </row>
    <row r="59" ht="40.5" customHeight="1">
      <c r="A59" s="13">
        <v>57.0</v>
      </c>
      <c r="B59" s="18" t="s">
        <v>822</v>
      </c>
      <c r="C59" s="18" t="s">
        <v>823</v>
      </c>
      <c r="D59" s="18" t="s">
        <v>505</v>
      </c>
      <c r="E59" s="18" t="s">
        <v>179</v>
      </c>
      <c r="F59" s="61">
        <v>626.0</v>
      </c>
      <c r="G59" s="61" t="s">
        <v>824</v>
      </c>
      <c r="H59" s="61">
        <v>176.0</v>
      </c>
      <c r="I59" s="18" t="s">
        <v>36</v>
      </c>
      <c r="J59" s="18">
        <v>44.0</v>
      </c>
      <c r="K59" s="18" t="s">
        <v>58</v>
      </c>
      <c r="L59" s="29" t="s">
        <v>105</v>
      </c>
      <c r="M59" s="18" t="s">
        <v>922</v>
      </c>
      <c r="N59" s="18" t="s">
        <v>40</v>
      </c>
      <c r="O59" s="18" t="s">
        <v>42</v>
      </c>
      <c r="P59" s="18" t="s">
        <v>42</v>
      </c>
      <c r="Q59" s="18" t="s">
        <v>40</v>
      </c>
      <c r="R59" s="18" t="s">
        <v>40</v>
      </c>
      <c r="S59" s="18" t="s">
        <v>40</v>
      </c>
      <c r="T59" s="18" t="s">
        <v>826</v>
      </c>
      <c r="U59" s="14" t="s">
        <v>827</v>
      </c>
      <c r="V59" s="18" t="s">
        <v>828</v>
      </c>
      <c r="W59" s="18" t="s">
        <v>50</v>
      </c>
      <c r="X59" s="25" t="s">
        <v>829</v>
      </c>
      <c r="Y59" s="18" t="s">
        <v>830</v>
      </c>
      <c r="Z59" s="21" t="s">
        <v>831</v>
      </c>
      <c r="AA59" s="21" t="s">
        <v>82</v>
      </c>
    </row>
    <row r="60" ht="40.5" customHeight="1">
      <c r="A60" s="13">
        <v>58.0</v>
      </c>
      <c r="B60" s="18" t="s">
        <v>832</v>
      </c>
      <c r="C60" s="18" t="s">
        <v>833</v>
      </c>
      <c r="D60" s="18" t="s">
        <v>233</v>
      </c>
      <c r="E60" s="18" t="s">
        <v>55</v>
      </c>
      <c r="F60" s="61">
        <v>382.0</v>
      </c>
      <c r="G60" s="61" t="s">
        <v>834</v>
      </c>
      <c r="H60" s="61">
        <v>33.0</v>
      </c>
      <c r="I60" s="18" t="s">
        <v>36</v>
      </c>
      <c r="J60" s="18">
        <v>33.0</v>
      </c>
      <c r="K60" s="18" t="s">
        <v>38</v>
      </c>
      <c r="L60" s="29" t="s">
        <v>835</v>
      </c>
      <c r="M60" s="18" t="s">
        <v>836</v>
      </c>
      <c r="N60" s="18" t="s">
        <v>40</v>
      </c>
      <c r="O60" s="18" t="s">
        <v>42</v>
      </c>
      <c r="P60" s="18" t="s">
        <v>93</v>
      </c>
      <c r="Q60" s="18" t="s">
        <v>40</v>
      </c>
      <c r="R60" s="18" t="s">
        <v>837</v>
      </c>
      <c r="S60" s="18" t="s">
        <v>838</v>
      </c>
      <c r="T60" s="18" t="s">
        <v>839</v>
      </c>
      <c r="U60" s="18" t="s">
        <v>840</v>
      </c>
      <c r="V60" s="18" t="s">
        <v>841</v>
      </c>
      <c r="W60" s="18" t="s">
        <v>50</v>
      </c>
      <c r="X60" s="62" t="s">
        <v>50</v>
      </c>
      <c r="Y60" s="18"/>
      <c r="Z60" s="21" t="s">
        <v>842</v>
      </c>
      <c r="AA60" s="21" t="s">
        <v>82</v>
      </c>
    </row>
    <row r="61" ht="40.5" customHeight="1">
      <c r="A61" s="13">
        <v>59.0</v>
      </c>
      <c r="B61" s="18" t="s">
        <v>843</v>
      </c>
      <c r="C61" s="18" t="s">
        <v>844</v>
      </c>
      <c r="D61" s="18" t="s">
        <v>233</v>
      </c>
      <c r="E61" s="18" t="s">
        <v>55</v>
      </c>
      <c r="F61" s="61">
        <v>205.0</v>
      </c>
      <c r="G61" s="18" t="s">
        <v>845</v>
      </c>
      <c r="H61" s="61">
        <v>40.0</v>
      </c>
      <c r="I61" s="18" t="s">
        <v>36</v>
      </c>
      <c r="J61" s="18">
        <v>40.0</v>
      </c>
      <c r="K61" s="18" t="s">
        <v>58</v>
      </c>
      <c r="L61" s="29" t="s">
        <v>846</v>
      </c>
      <c r="M61" s="18" t="s">
        <v>40</v>
      </c>
      <c r="N61" s="18" t="s">
        <v>847</v>
      </c>
      <c r="O61" s="18" t="s">
        <v>42</v>
      </c>
      <c r="P61" s="18" t="s">
        <v>43</v>
      </c>
      <c r="Q61" s="18" t="s">
        <v>40</v>
      </c>
      <c r="R61" s="18" t="s">
        <v>848</v>
      </c>
      <c r="S61" s="18" t="s">
        <v>849</v>
      </c>
      <c r="T61" s="18" t="s">
        <v>850</v>
      </c>
      <c r="U61" s="18" t="s">
        <v>851</v>
      </c>
      <c r="V61" s="18" t="s">
        <v>852</v>
      </c>
      <c r="W61" s="18" t="s">
        <v>50</v>
      </c>
      <c r="X61" s="62" t="s">
        <v>853</v>
      </c>
      <c r="Y61" s="18"/>
      <c r="Z61" s="18"/>
      <c r="AA61" s="21" t="s">
        <v>82</v>
      </c>
    </row>
    <row r="62" ht="40.5" customHeight="1">
      <c r="A62" s="13">
        <v>60.0</v>
      </c>
      <c r="B62" s="18" t="s">
        <v>854</v>
      </c>
      <c r="C62" s="18" t="s">
        <v>855</v>
      </c>
      <c r="D62" s="18" t="s">
        <v>233</v>
      </c>
      <c r="E62" s="18" t="s">
        <v>55</v>
      </c>
      <c r="F62" s="61">
        <v>888.0</v>
      </c>
      <c r="G62" s="18" t="s">
        <v>856</v>
      </c>
      <c r="H62" s="61">
        <v>108.0</v>
      </c>
      <c r="I62" s="18" t="s">
        <v>857</v>
      </c>
      <c r="J62" s="18" t="s">
        <v>858</v>
      </c>
      <c r="K62" s="18" t="s">
        <v>58</v>
      </c>
      <c r="L62" s="29" t="s">
        <v>859</v>
      </c>
      <c r="M62" s="18" t="s">
        <v>860</v>
      </c>
      <c r="N62" s="18" t="s">
        <v>40</v>
      </c>
      <c r="O62" s="18" t="s">
        <v>131</v>
      </c>
      <c r="P62" s="18" t="s">
        <v>131</v>
      </c>
      <c r="Q62" s="18" t="s">
        <v>861</v>
      </c>
      <c r="R62" s="18" t="s">
        <v>862</v>
      </c>
      <c r="S62" s="18" t="s">
        <v>863</v>
      </c>
      <c r="T62" s="18" t="s">
        <v>864</v>
      </c>
      <c r="U62" s="18" t="s">
        <v>865</v>
      </c>
      <c r="V62" s="18" t="s">
        <v>866</v>
      </c>
      <c r="W62" s="18" t="s">
        <v>50</v>
      </c>
      <c r="X62" s="63" t="s">
        <v>867</v>
      </c>
      <c r="Y62" s="18"/>
      <c r="Z62" s="18"/>
      <c r="AA62" s="21" t="s">
        <v>82</v>
      </c>
    </row>
    <row r="63" ht="40.5" customHeight="1">
      <c r="A63" s="73">
        <v>61.0</v>
      </c>
      <c r="B63" s="18" t="s">
        <v>868</v>
      </c>
      <c r="C63" s="18" t="s">
        <v>869</v>
      </c>
      <c r="D63" s="18" t="s">
        <v>233</v>
      </c>
      <c r="E63" s="18" t="s">
        <v>870</v>
      </c>
      <c r="F63" s="61">
        <v>192.0</v>
      </c>
      <c r="G63" s="18" t="s">
        <v>871</v>
      </c>
      <c r="H63" s="61">
        <v>703.0</v>
      </c>
      <c r="I63" s="18" t="s">
        <v>36</v>
      </c>
      <c r="J63" s="18" t="s">
        <v>872</v>
      </c>
      <c r="K63" s="18" t="s">
        <v>873</v>
      </c>
      <c r="L63" s="29" t="s">
        <v>874</v>
      </c>
      <c r="M63" s="18" t="s">
        <v>875</v>
      </c>
      <c r="N63" s="18" t="s">
        <v>40</v>
      </c>
      <c r="O63" s="18" t="s">
        <v>876</v>
      </c>
      <c r="P63" s="18" t="s">
        <v>877</v>
      </c>
      <c r="Q63" s="18" t="s">
        <v>40</v>
      </c>
      <c r="R63" s="18" t="s">
        <v>878</v>
      </c>
      <c r="S63" s="18" t="s">
        <v>879</v>
      </c>
      <c r="T63" s="18" t="s">
        <v>880</v>
      </c>
      <c r="U63" s="18" t="s">
        <v>881</v>
      </c>
      <c r="V63" s="18" t="s">
        <v>882</v>
      </c>
      <c r="W63" s="18" t="s">
        <v>50</v>
      </c>
      <c r="X63" s="62" t="s">
        <v>853</v>
      </c>
      <c r="Y63" s="18"/>
      <c r="Z63" s="18"/>
      <c r="AA63" s="21" t="s">
        <v>82</v>
      </c>
    </row>
    <row r="64" ht="40.5" customHeight="1">
      <c r="A64" s="64"/>
    </row>
    <row r="65" ht="40.5" customHeight="1">
      <c r="A65" s="64"/>
    </row>
    <row r="66" ht="40.5" customHeight="1">
      <c r="A66" s="64"/>
    </row>
    <row r="67" ht="40.5" customHeight="1">
      <c r="A67" s="64"/>
    </row>
    <row r="68" ht="40.5" customHeight="1">
      <c r="A68" s="64"/>
    </row>
    <row r="69" ht="40.5" customHeight="1">
      <c r="A69" s="64"/>
    </row>
    <row r="70" ht="40.5" customHeight="1">
      <c r="A70" s="64"/>
    </row>
    <row r="71" ht="40.5" customHeight="1">
      <c r="A71" s="64"/>
    </row>
    <row r="72" ht="40.5" customHeight="1">
      <c r="A72" s="64"/>
    </row>
    <row r="73" ht="40.5" customHeight="1">
      <c r="A73" s="64"/>
    </row>
    <row r="74" ht="40.5" customHeight="1">
      <c r="A74" s="64"/>
    </row>
    <row r="75" ht="40.5" customHeight="1">
      <c r="A75" s="64"/>
    </row>
    <row r="76" ht="40.5" customHeight="1">
      <c r="A76" s="64"/>
    </row>
    <row r="77" ht="40.5" customHeight="1">
      <c r="A77" s="64"/>
    </row>
    <row r="78" ht="40.5" customHeight="1">
      <c r="A78" s="64"/>
    </row>
    <row r="79" ht="40.5" customHeight="1">
      <c r="A79" s="64"/>
    </row>
    <row r="80" ht="40.5" customHeight="1">
      <c r="A80" s="64"/>
    </row>
    <row r="81" ht="40.5" customHeight="1">
      <c r="A81" s="64"/>
    </row>
    <row r="82" ht="40.5" customHeight="1">
      <c r="A82" s="64"/>
    </row>
    <row r="83" ht="40.5" customHeight="1">
      <c r="A83" s="64"/>
    </row>
    <row r="84" ht="40.5" customHeight="1">
      <c r="A84" s="64"/>
    </row>
    <row r="85" ht="40.5" customHeight="1">
      <c r="A85" s="64"/>
    </row>
    <row r="86" ht="40.5" customHeight="1">
      <c r="A86" s="64"/>
    </row>
    <row r="87" ht="40.5" customHeight="1">
      <c r="A87" s="64"/>
    </row>
    <row r="88" ht="40.5" customHeight="1">
      <c r="A88" s="64"/>
    </row>
    <row r="89" ht="40.5" customHeight="1">
      <c r="A89" s="64"/>
    </row>
    <row r="90" ht="40.5" customHeight="1">
      <c r="A90" s="64"/>
    </row>
    <row r="91" ht="40.5" customHeight="1">
      <c r="A91" s="64"/>
    </row>
    <row r="92" ht="40.5" customHeight="1">
      <c r="A92" s="64"/>
    </row>
    <row r="93" ht="40.5" customHeight="1">
      <c r="A93" s="64"/>
    </row>
    <row r="94" ht="40.5" customHeight="1">
      <c r="A94" s="64"/>
    </row>
    <row r="95" ht="40.5" customHeight="1">
      <c r="A95" s="64"/>
    </row>
    <row r="96" ht="40.5" customHeight="1">
      <c r="A96" s="64"/>
    </row>
    <row r="97" ht="40.5" customHeight="1">
      <c r="A97" s="64"/>
    </row>
    <row r="98" ht="40.5" customHeight="1">
      <c r="A98" s="64"/>
    </row>
    <row r="99" ht="40.5" customHeight="1">
      <c r="A99" s="64"/>
    </row>
    <row r="100" ht="40.5" customHeight="1">
      <c r="A100" s="64"/>
    </row>
    <row r="101" ht="40.5" customHeight="1">
      <c r="A101" s="64"/>
    </row>
    <row r="102" ht="40.5" customHeight="1">
      <c r="A102" s="64"/>
    </row>
    <row r="103" ht="40.5" customHeight="1">
      <c r="A103" s="64"/>
    </row>
    <row r="104" ht="40.5" customHeight="1">
      <c r="A104" s="64"/>
    </row>
    <row r="105" ht="40.5" customHeight="1">
      <c r="A105" s="64"/>
    </row>
    <row r="106" ht="40.5" customHeight="1">
      <c r="A106" s="64"/>
    </row>
    <row r="107" ht="40.5" customHeight="1">
      <c r="A107" s="64"/>
    </row>
    <row r="108" ht="40.5" customHeight="1">
      <c r="A108" s="64"/>
    </row>
    <row r="109" ht="40.5" customHeight="1">
      <c r="A109" s="64"/>
    </row>
    <row r="110" ht="40.5" customHeight="1">
      <c r="A110" s="64"/>
    </row>
    <row r="111" ht="40.5" customHeight="1">
      <c r="A111" s="64"/>
    </row>
    <row r="112" ht="40.5" customHeight="1">
      <c r="A112" s="64"/>
    </row>
    <row r="113" ht="40.5" customHeight="1">
      <c r="A113" s="64"/>
    </row>
    <row r="114" ht="40.5" customHeight="1">
      <c r="A114" s="64"/>
    </row>
    <row r="115" ht="40.5" customHeight="1">
      <c r="A115" s="64"/>
    </row>
    <row r="116" ht="40.5" customHeight="1">
      <c r="A116" s="64"/>
    </row>
    <row r="117" ht="40.5" customHeight="1">
      <c r="A117" s="64"/>
    </row>
    <row r="118" ht="40.5" customHeight="1">
      <c r="A118" s="64"/>
    </row>
    <row r="119" ht="40.5" customHeight="1">
      <c r="A119" s="64"/>
    </row>
    <row r="120" ht="40.5" customHeight="1">
      <c r="A120" s="64"/>
    </row>
    <row r="121" ht="40.5" customHeight="1">
      <c r="A121" s="64"/>
    </row>
    <row r="122" ht="40.5" customHeight="1">
      <c r="A122" s="64"/>
    </row>
    <row r="123" ht="40.5" customHeight="1">
      <c r="A123" s="64"/>
    </row>
    <row r="124" ht="40.5" customHeight="1">
      <c r="A124" s="64"/>
    </row>
    <row r="125" ht="40.5" customHeight="1">
      <c r="A125" s="64"/>
    </row>
    <row r="126" ht="40.5" customHeight="1">
      <c r="A126" s="64"/>
    </row>
    <row r="127" ht="40.5" customHeight="1">
      <c r="A127" s="64"/>
    </row>
    <row r="128" ht="40.5" customHeight="1">
      <c r="A128" s="64"/>
    </row>
    <row r="129" ht="40.5" customHeight="1">
      <c r="A129" s="64"/>
    </row>
    <row r="130" ht="40.5" customHeight="1">
      <c r="A130" s="64"/>
    </row>
    <row r="131" ht="40.5" customHeight="1">
      <c r="A131" s="64"/>
    </row>
    <row r="132" ht="40.5" customHeight="1">
      <c r="A132" s="64"/>
    </row>
    <row r="133" ht="40.5" customHeight="1">
      <c r="A133" s="64"/>
    </row>
    <row r="134" ht="40.5" customHeight="1">
      <c r="A134" s="64"/>
    </row>
    <row r="135" ht="40.5" customHeight="1">
      <c r="A135" s="64"/>
    </row>
    <row r="136" ht="40.5" customHeight="1">
      <c r="A136" s="64"/>
    </row>
    <row r="137" ht="40.5" customHeight="1">
      <c r="A137" s="64"/>
    </row>
    <row r="138" ht="40.5" customHeight="1">
      <c r="A138" s="64"/>
    </row>
    <row r="139" ht="40.5" customHeight="1">
      <c r="A139" s="64"/>
    </row>
    <row r="140" ht="40.5" customHeight="1">
      <c r="A140" s="64"/>
    </row>
    <row r="141" ht="40.5" customHeight="1">
      <c r="A141" s="64"/>
    </row>
    <row r="142" ht="40.5" customHeight="1">
      <c r="A142" s="64"/>
    </row>
    <row r="143" ht="40.5" customHeight="1">
      <c r="A143" s="64"/>
    </row>
    <row r="144" ht="40.5" customHeight="1">
      <c r="A144" s="64"/>
    </row>
    <row r="145" ht="40.5" customHeight="1">
      <c r="A145" s="64"/>
    </row>
    <row r="146" ht="40.5" customHeight="1">
      <c r="A146" s="64"/>
    </row>
    <row r="147" ht="40.5" customHeight="1">
      <c r="A147" s="64"/>
    </row>
    <row r="148" ht="40.5" customHeight="1">
      <c r="A148" s="64"/>
    </row>
    <row r="149" ht="40.5" customHeight="1">
      <c r="A149" s="64"/>
    </row>
    <row r="150" ht="40.5" customHeight="1">
      <c r="A150" s="64"/>
    </row>
    <row r="151" ht="40.5" customHeight="1">
      <c r="A151" s="64"/>
    </row>
    <row r="152" ht="40.5" customHeight="1">
      <c r="A152" s="64"/>
    </row>
    <row r="153" ht="40.5" customHeight="1">
      <c r="A153" s="64"/>
    </row>
    <row r="154" ht="40.5" customHeight="1">
      <c r="A154" s="64"/>
    </row>
    <row r="155" ht="40.5" customHeight="1">
      <c r="A155" s="64"/>
    </row>
    <row r="156" ht="40.5" customHeight="1">
      <c r="A156" s="64"/>
    </row>
    <row r="157" ht="40.5" customHeight="1">
      <c r="A157" s="64"/>
    </row>
    <row r="158" ht="40.5" customHeight="1">
      <c r="A158" s="64"/>
    </row>
    <row r="159" ht="40.5" customHeight="1">
      <c r="A159" s="64"/>
    </row>
    <row r="160" ht="40.5" customHeight="1">
      <c r="A160" s="64"/>
    </row>
    <row r="161" ht="40.5" customHeight="1">
      <c r="A161" s="64"/>
    </row>
    <row r="162" ht="40.5" customHeight="1">
      <c r="A162" s="64"/>
    </row>
    <row r="163" ht="40.5" customHeight="1">
      <c r="A163" s="64"/>
    </row>
    <row r="164" ht="40.5" customHeight="1">
      <c r="A164" s="64"/>
    </row>
    <row r="165" ht="40.5" customHeight="1">
      <c r="A165" s="64"/>
    </row>
    <row r="166" ht="40.5" customHeight="1">
      <c r="A166" s="64"/>
    </row>
    <row r="167" ht="40.5" customHeight="1">
      <c r="A167" s="64"/>
    </row>
    <row r="168" ht="40.5" customHeight="1">
      <c r="A168" s="64"/>
    </row>
    <row r="169" ht="40.5" customHeight="1">
      <c r="A169" s="64"/>
    </row>
    <row r="170" ht="40.5" customHeight="1">
      <c r="A170" s="64"/>
    </row>
    <row r="171" ht="40.5" customHeight="1">
      <c r="A171" s="64"/>
    </row>
    <row r="172" ht="40.5" customHeight="1">
      <c r="A172" s="64"/>
    </row>
    <row r="173" ht="40.5" customHeight="1">
      <c r="A173" s="64"/>
    </row>
    <row r="174" ht="40.5" customHeight="1">
      <c r="A174" s="64"/>
    </row>
    <row r="175" ht="40.5" customHeight="1">
      <c r="A175" s="64"/>
    </row>
    <row r="176" ht="40.5" customHeight="1">
      <c r="A176" s="64"/>
    </row>
    <row r="177" ht="40.5" customHeight="1">
      <c r="A177" s="64"/>
    </row>
    <row r="178" ht="40.5" customHeight="1">
      <c r="A178" s="64"/>
    </row>
    <row r="179" ht="40.5" customHeight="1">
      <c r="A179" s="64"/>
    </row>
    <row r="180" ht="40.5" customHeight="1">
      <c r="A180" s="64"/>
    </row>
    <row r="181" ht="40.5" customHeight="1">
      <c r="A181" s="64"/>
    </row>
    <row r="182" ht="40.5" customHeight="1">
      <c r="A182" s="64"/>
    </row>
    <row r="183" ht="40.5" customHeight="1">
      <c r="A183" s="64"/>
    </row>
    <row r="184" ht="40.5" customHeight="1">
      <c r="A184" s="64"/>
    </row>
    <row r="185" ht="40.5" customHeight="1">
      <c r="A185" s="64"/>
    </row>
    <row r="186" ht="40.5" customHeight="1">
      <c r="A186" s="64"/>
    </row>
    <row r="187" ht="40.5" customHeight="1">
      <c r="A187" s="64"/>
    </row>
    <row r="188" ht="40.5" customHeight="1">
      <c r="A188" s="64"/>
    </row>
    <row r="189" ht="40.5" customHeight="1">
      <c r="A189" s="64"/>
    </row>
    <row r="190" ht="40.5" customHeight="1">
      <c r="A190" s="64"/>
    </row>
    <row r="191" ht="40.5" customHeight="1">
      <c r="A191" s="64"/>
    </row>
    <row r="192" ht="40.5" customHeight="1">
      <c r="A192" s="64"/>
    </row>
    <row r="193" ht="40.5" customHeight="1">
      <c r="A193" s="64"/>
    </row>
    <row r="194" ht="40.5" customHeight="1">
      <c r="A194" s="64"/>
    </row>
    <row r="195" ht="40.5" customHeight="1">
      <c r="A195" s="64"/>
    </row>
    <row r="196" ht="40.5" customHeight="1">
      <c r="A196" s="64"/>
    </row>
    <row r="197" ht="40.5" customHeight="1">
      <c r="A197" s="64"/>
    </row>
    <row r="198" ht="40.5" customHeight="1">
      <c r="A198" s="64"/>
    </row>
    <row r="199" ht="40.5" customHeight="1">
      <c r="A199" s="64"/>
    </row>
    <row r="200" ht="40.5" customHeight="1">
      <c r="A200" s="64"/>
    </row>
    <row r="201" ht="40.5" customHeight="1">
      <c r="A201" s="64"/>
    </row>
    <row r="202" ht="40.5" customHeight="1">
      <c r="A202" s="64"/>
    </row>
    <row r="203" ht="40.5" customHeight="1">
      <c r="A203" s="64"/>
    </row>
    <row r="204" ht="40.5" customHeight="1">
      <c r="A204" s="64"/>
    </row>
    <row r="205" ht="40.5" customHeight="1">
      <c r="A205" s="64"/>
    </row>
    <row r="206" ht="40.5" customHeight="1">
      <c r="A206" s="64"/>
    </row>
    <row r="207" ht="40.5" customHeight="1">
      <c r="A207" s="64"/>
    </row>
    <row r="208" ht="40.5" customHeight="1">
      <c r="A208" s="64"/>
    </row>
    <row r="209" ht="40.5" customHeight="1">
      <c r="A209" s="64"/>
    </row>
    <row r="210" ht="40.5" customHeight="1">
      <c r="A210" s="64"/>
    </row>
    <row r="211" ht="40.5" customHeight="1">
      <c r="A211" s="64"/>
    </row>
    <row r="212" ht="40.5" customHeight="1">
      <c r="A212" s="64"/>
    </row>
    <row r="213" ht="40.5" customHeight="1">
      <c r="A213" s="64"/>
    </row>
    <row r="214" ht="40.5" customHeight="1">
      <c r="A214" s="64"/>
    </row>
    <row r="215" ht="40.5" customHeight="1">
      <c r="A215" s="64"/>
    </row>
    <row r="216" ht="40.5" customHeight="1">
      <c r="A216" s="64"/>
    </row>
    <row r="217" ht="40.5" customHeight="1">
      <c r="A217" s="64"/>
    </row>
    <row r="218" ht="40.5" customHeight="1">
      <c r="A218" s="64"/>
    </row>
    <row r="219" ht="40.5" customHeight="1">
      <c r="A219" s="64"/>
    </row>
    <row r="220" ht="40.5" customHeight="1">
      <c r="A220" s="64"/>
    </row>
    <row r="221" ht="40.5" customHeight="1">
      <c r="A221" s="64"/>
    </row>
    <row r="222" ht="40.5" customHeight="1">
      <c r="A222" s="64"/>
    </row>
    <row r="223" ht="40.5" customHeight="1">
      <c r="A223" s="64"/>
    </row>
    <row r="224" ht="40.5" customHeight="1">
      <c r="A224" s="64"/>
    </row>
    <row r="225" ht="40.5" customHeight="1">
      <c r="A225" s="64"/>
    </row>
    <row r="226" ht="40.5" customHeight="1">
      <c r="A226" s="64"/>
    </row>
    <row r="227" ht="40.5" customHeight="1">
      <c r="A227" s="64"/>
    </row>
    <row r="228" ht="40.5" customHeight="1">
      <c r="A228" s="64"/>
    </row>
    <row r="229" ht="40.5" customHeight="1">
      <c r="A229" s="64"/>
    </row>
    <row r="230" ht="40.5" customHeight="1">
      <c r="A230" s="64"/>
    </row>
    <row r="231" ht="40.5" customHeight="1">
      <c r="A231" s="64"/>
    </row>
    <row r="232" ht="40.5" customHeight="1">
      <c r="A232" s="64"/>
    </row>
    <row r="233" ht="40.5" customHeight="1">
      <c r="A233" s="64"/>
    </row>
    <row r="234" ht="40.5" customHeight="1">
      <c r="A234" s="64"/>
    </row>
    <row r="235" ht="40.5" customHeight="1">
      <c r="A235" s="64"/>
    </row>
    <row r="236" ht="40.5" customHeight="1">
      <c r="A236" s="64"/>
    </row>
    <row r="237" ht="40.5" customHeight="1">
      <c r="A237" s="64"/>
    </row>
    <row r="238" ht="40.5" customHeight="1">
      <c r="A238" s="64"/>
    </row>
    <row r="239" ht="40.5" customHeight="1">
      <c r="A239" s="64"/>
    </row>
    <row r="240" ht="40.5" customHeight="1">
      <c r="A240" s="64"/>
    </row>
    <row r="241" ht="40.5" customHeight="1">
      <c r="A241" s="64"/>
    </row>
    <row r="242" ht="40.5" customHeight="1">
      <c r="A242" s="64"/>
    </row>
    <row r="243" ht="40.5" customHeight="1">
      <c r="A243" s="64"/>
    </row>
    <row r="244" ht="40.5" customHeight="1">
      <c r="A244" s="64"/>
    </row>
    <row r="245" ht="40.5" customHeight="1">
      <c r="A245" s="64"/>
    </row>
    <row r="246" ht="40.5" customHeight="1">
      <c r="A246" s="64"/>
    </row>
    <row r="247" ht="40.5" customHeight="1">
      <c r="A247" s="64"/>
    </row>
    <row r="248" ht="40.5" customHeight="1">
      <c r="A248" s="64"/>
    </row>
    <row r="249" ht="40.5" customHeight="1">
      <c r="A249" s="64"/>
    </row>
    <row r="250" ht="40.5" customHeight="1">
      <c r="A250" s="64"/>
    </row>
    <row r="251" ht="40.5" customHeight="1">
      <c r="A251" s="64"/>
    </row>
    <row r="252" ht="40.5" customHeight="1">
      <c r="A252" s="64"/>
    </row>
    <row r="253" ht="40.5" customHeight="1">
      <c r="A253" s="64"/>
    </row>
    <row r="254" ht="40.5" customHeight="1">
      <c r="A254" s="64"/>
    </row>
    <row r="255" ht="40.5" customHeight="1">
      <c r="A255" s="64"/>
    </row>
    <row r="256" ht="40.5" customHeight="1">
      <c r="A256" s="64"/>
    </row>
    <row r="257" ht="40.5" customHeight="1">
      <c r="A257" s="64"/>
    </row>
    <row r="258" ht="40.5" customHeight="1">
      <c r="A258" s="64"/>
    </row>
    <row r="259" ht="40.5" customHeight="1">
      <c r="A259" s="64"/>
    </row>
    <row r="260" ht="40.5" customHeight="1">
      <c r="A260" s="64"/>
    </row>
    <row r="261" ht="40.5" customHeight="1">
      <c r="A261" s="64"/>
    </row>
    <row r="262" ht="40.5" customHeight="1">
      <c r="A262" s="64"/>
    </row>
    <row r="263" ht="40.5" customHeight="1">
      <c r="A263" s="64"/>
    </row>
    <row r="264" ht="40.5" customHeight="1">
      <c r="A264" s="64"/>
    </row>
    <row r="265" ht="40.5" customHeight="1">
      <c r="A265" s="64"/>
    </row>
    <row r="266" ht="40.5" customHeight="1">
      <c r="A266" s="64"/>
    </row>
    <row r="267" ht="40.5" customHeight="1">
      <c r="A267" s="64"/>
    </row>
    <row r="268" ht="40.5" customHeight="1">
      <c r="A268" s="64"/>
    </row>
    <row r="269" ht="40.5" customHeight="1">
      <c r="A269" s="64"/>
    </row>
    <row r="270" ht="40.5" customHeight="1">
      <c r="A270" s="64"/>
    </row>
    <row r="271" ht="40.5" customHeight="1">
      <c r="A271" s="64"/>
    </row>
    <row r="272" ht="40.5" customHeight="1">
      <c r="A272" s="64"/>
    </row>
    <row r="273" ht="40.5" customHeight="1">
      <c r="A273" s="64"/>
    </row>
    <row r="274" ht="40.5" customHeight="1">
      <c r="A274" s="64"/>
    </row>
    <row r="275" ht="40.5" customHeight="1">
      <c r="A275" s="64"/>
    </row>
    <row r="276" ht="40.5" customHeight="1">
      <c r="A276" s="64"/>
    </row>
    <row r="277" ht="40.5" customHeight="1">
      <c r="A277" s="64"/>
    </row>
    <row r="278" ht="40.5" customHeight="1">
      <c r="A278" s="64"/>
    </row>
    <row r="279" ht="40.5" customHeight="1">
      <c r="A279" s="64"/>
    </row>
    <row r="280" ht="40.5" customHeight="1">
      <c r="A280" s="64"/>
    </row>
    <row r="281" ht="40.5" customHeight="1">
      <c r="A281" s="64"/>
    </row>
    <row r="282" ht="40.5" customHeight="1">
      <c r="A282" s="64"/>
    </row>
    <row r="283" ht="40.5" customHeight="1">
      <c r="A283" s="64"/>
    </row>
    <row r="284" ht="40.5" customHeight="1">
      <c r="A284" s="64"/>
    </row>
    <row r="285" ht="40.5" customHeight="1">
      <c r="A285" s="64"/>
    </row>
    <row r="286" ht="40.5" customHeight="1">
      <c r="A286" s="64"/>
    </row>
    <row r="287" ht="40.5" customHeight="1">
      <c r="A287" s="64"/>
    </row>
    <row r="288" ht="40.5" customHeight="1">
      <c r="A288" s="64"/>
    </row>
    <row r="289" ht="40.5" customHeight="1">
      <c r="A289" s="64"/>
    </row>
    <row r="290" ht="40.5" customHeight="1">
      <c r="A290" s="64"/>
    </row>
    <row r="291" ht="40.5" customHeight="1">
      <c r="A291" s="64"/>
    </row>
    <row r="292" ht="40.5" customHeight="1">
      <c r="A292" s="64"/>
    </row>
    <row r="293" ht="40.5" customHeight="1">
      <c r="A293" s="64"/>
    </row>
    <row r="294" ht="40.5" customHeight="1">
      <c r="A294" s="64"/>
    </row>
    <row r="295" ht="40.5" customHeight="1">
      <c r="A295" s="64"/>
    </row>
    <row r="296" ht="40.5" customHeight="1">
      <c r="A296" s="64"/>
    </row>
    <row r="297" ht="40.5" customHeight="1">
      <c r="A297" s="64"/>
    </row>
    <row r="298" ht="40.5" customHeight="1">
      <c r="A298" s="64"/>
    </row>
    <row r="299" ht="40.5" customHeight="1">
      <c r="A299" s="64"/>
    </row>
    <row r="300" ht="40.5" customHeight="1">
      <c r="A300" s="64"/>
    </row>
    <row r="301" ht="40.5" customHeight="1">
      <c r="A301" s="64"/>
    </row>
    <row r="302" ht="40.5" customHeight="1">
      <c r="A302" s="64"/>
    </row>
    <row r="303" ht="40.5" customHeight="1">
      <c r="A303" s="64"/>
    </row>
    <row r="304" ht="40.5" customHeight="1">
      <c r="A304" s="64"/>
    </row>
    <row r="305" ht="40.5" customHeight="1">
      <c r="A305" s="64"/>
    </row>
    <row r="306" ht="40.5" customHeight="1">
      <c r="A306" s="64"/>
    </row>
    <row r="307" ht="40.5" customHeight="1">
      <c r="A307" s="64"/>
    </row>
    <row r="308" ht="40.5" customHeight="1">
      <c r="A308" s="64"/>
    </row>
    <row r="309" ht="40.5" customHeight="1">
      <c r="A309" s="64"/>
    </row>
    <row r="310" ht="40.5" customHeight="1">
      <c r="A310" s="64"/>
    </row>
    <row r="311" ht="40.5" customHeight="1">
      <c r="A311" s="64"/>
    </row>
    <row r="312" ht="40.5" customHeight="1">
      <c r="A312" s="64"/>
    </row>
    <row r="313" ht="40.5" customHeight="1">
      <c r="A313" s="64"/>
    </row>
    <row r="314" ht="40.5" customHeight="1">
      <c r="A314" s="64"/>
    </row>
    <row r="315" ht="40.5" customHeight="1">
      <c r="A315" s="64"/>
    </row>
    <row r="316" ht="40.5" customHeight="1">
      <c r="A316" s="64"/>
    </row>
    <row r="317" ht="40.5" customHeight="1">
      <c r="A317" s="64"/>
    </row>
    <row r="318" ht="40.5" customHeight="1">
      <c r="A318" s="64"/>
    </row>
    <row r="319" ht="40.5" customHeight="1">
      <c r="A319" s="64"/>
    </row>
    <row r="320" ht="40.5" customHeight="1">
      <c r="A320" s="64"/>
    </row>
    <row r="321" ht="40.5" customHeight="1">
      <c r="A321" s="64"/>
    </row>
    <row r="322" ht="40.5" customHeight="1">
      <c r="A322" s="64"/>
    </row>
    <row r="323" ht="40.5" customHeight="1">
      <c r="A323" s="64"/>
    </row>
    <row r="324" ht="40.5" customHeight="1">
      <c r="A324" s="64"/>
    </row>
    <row r="325" ht="40.5" customHeight="1">
      <c r="A325" s="64"/>
    </row>
    <row r="326" ht="40.5" customHeight="1">
      <c r="A326" s="64"/>
    </row>
    <row r="327" ht="40.5" customHeight="1">
      <c r="A327" s="64"/>
    </row>
    <row r="328" ht="40.5" customHeight="1">
      <c r="A328" s="64"/>
    </row>
    <row r="329" ht="40.5" customHeight="1">
      <c r="A329" s="64"/>
    </row>
    <row r="330" ht="40.5" customHeight="1">
      <c r="A330" s="64"/>
    </row>
    <row r="331" ht="40.5" customHeight="1">
      <c r="A331" s="64"/>
    </row>
    <row r="332" ht="40.5" customHeight="1">
      <c r="A332" s="64"/>
    </row>
    <row r="333" ht="40.5" customHeight="1">
      <c r="A333" s="64"/>
    </row>
    <row r="334" ht="40.5" customHeight="1">
      <c r="A334" s="64"/>
    </row>
    <row r="335" ht="40.5" customHeight="1">
      <c r="A335" s="64"/>
    </row>
    <row r="336" ht="40.5" customHeight="1">
      <c r="A336" s="64"/>
    </row>
    <row r="337" ht="40.5" customHeight="1">
      <c r="A337" s="64"/>
    </row>
    <row r="338" ht="40.5" customHeight="1">
      <c r="A338" s="64"/>
    </row>
    <row r="339" ht="40.5" customHeight="1">
      <c r="A339" s="64"/>
    </row>
    <row r="340" ht="40.5" customHeight="1">
      <c r="A340" s="64"/>
    </row>
    <row r="341" ht="40.5" customHeight="1">
      <c r="A341" s="64"/>
    </row>
    <row r="342" ht="40.5" customHeight="1">
      <c r="A342" s="64"/>
    </row>
    <row r="343" ht="40.5" customHeight="1">
      <c r="A343" s="64"/>
    </row>
    <row r="344" ht="40.5" customHeight="1">
      <c r="A344" s="64"/>
    </row>
    <row r="345" ht="40.5" customHeight="1">
      <c r="A345" s="64"/>
    </row>
    <row r="346" ht="40.5" customHeight="1">
      <c r="A346" s="64"/>
    </row>
    <row r="347" ht="40.5" customHeight="1">
      <c r="A347" s="64"/>
    </row>
    <row r="348" ht="40.5" customHeight="1">
      <c r="A348" s="64"/>
    </row>
    <row r="349" ht="40.5" customHeight="1">
      <c r="A349" s="64"/>
    </row>
    <row r="350" ht="40.5" customHeight="1">
      <c r="A350" s="64"/>
    </row>
    <row r="351" ht="40.5" customHeight="1">
      <c r="A351" s="64"/>
    </row>
    <row r="352" ht="40.5" customHeight="1">
      <c r="A352" s="64"/>
    </row>
    <row r="353" ht="40.5" customHeight="1">
      <c r="A353" s="64"/>
    </row>
    <row r="354" ht="40.5" customHeight="1">
      <c r="A354" s="64"/>
    </row>
    <row r="355" ht="40.5" customHeight="1">
      <c r="A355" s="64"/>
    </row>
    <row r="356" ht="40.5" customHeight="1">
      <c r="A356" s="64"/>
    </row>
    <row r="357" ht="40.5" customHeight="1">
      <c r="A357" s="64"/>
    </row>
    <row r="358" ht="40.5" customHeight="1">
      <c r="A358" s="64"/>
    </row>
    <row r="359" ht="40.5" customHeight="1">
      <c r="A359" s="64"/>
    </row>
    <row r="360" ht="40.5" customHeight="1">
      <c r="A360" s="64"/>
    </row>
    <row r="361" ht="40.5" customHeight="1">
      <c r="A361" s="64"/>
    </row>
    <row r="362" ht="40.5" customHeight="1">
      <c r="A362" s="64"/>
    </row>
    <row r="363" ht="40.5" customHeight="1">
      <c r="A363" s="64"/>
    </row>
    <row r="364" ht="40.5" customHeight="1">
      <c r="A364" s="64"/>
    </row>
    <row r="365" ht="40.5" customHeight="1">
      <c r="A365" s="64"/>
    </row>
    <row r="366" ht="40.5" customHeight="1">
      <c r="A366" s="64"/>
    </row>
    <row r="367" ht="40.5" customHeight="1">
      <c r="A367" s="64"/>
    </row>
    <row r="368" ht="40.5" customHeight="1">
      <c r="A368" s="64"/>
    </row>
    <row r="369" ht="40.5" customHeight="1">
      <c r="A369" s="64"/>
    </row>
    <row r="370" ht="40.5" customHeight="1">
      <c r="A370" s="64"/>
    </row>
    <row r="371" ht="40.5" customHeight="1">
      <c r="A371" s="64"/>
    </row>
    <row r="372" ht="40.5" customHeight="1">
      <c r="A372" s="64"/>
    </row>
    <row r="373" ht="40.5" customHeight="1">
      <c r="A373" s="64"/>
    </row>
    <row r="374" ht="40.5" customHeight="1">
      <c r="A374" s="64"/>
    </row>
    <row r="375" ht="40.5" customHeight="1">
      <c r="A375" s="64"/>
    </row>
    <row r="376" ht="40.5" customHeight="1">
      <c r="A376" s="64"/>
    </row>
    <row r="377" ht="40.5" customHeight="1">
      <c r="A377" s="64"/>
    </row>
    <row r="378" ht="40.5" customHeight="1">
      <c r="A378" s="64"/>
    </row>
    <row r="379" ht="40.5" customHeight="1">
      <c r="A379" s="64"/>
    </row>
    <row r="380" ht="40.5" customHeight="1">
      <c r="A380" s="64"/>
    </row>
    <row r="381" ht="40.5" customHeight="1">
      <c r="A381" s="64"/>
    </row>
    <row r="382" ht="40.5" customHeight="1">
      <c r="A382" s="64"/>
    </row>
    <row r="383" ht="40.5" customHeight="1">
      <c r="A383" s="64"/>
    </row>
    <row r="384" ht="40.5" customHeight="1">
      <c r="A384" s="64"/>
    </row>
    <row r="385" ht="40.5" customHeight="1">
      <c r="A385" s="64"/>
    </row>
    <row r="386" ht="40.5" customHeight="1">
      <c r="A386" s="64"/>
    </row>
    <row r="387" ht="40.5" customHeight="1">
      <c r="A387" s="64"/>
    </row>
    <row r="388" ht="40.5" customHeight="1">
      <c r="A388" s="64"/>
    </row>
    <row r="389" ht="40.5" customHeight="1">
      <c r="A389" s="64"/>
    </row>
    <row r="390" ht="40.5" customHeight="1">
      <c r="A390" s="64"/>
    </row>
    <row r="391" ht="40.5" customHeight="1">
      <c r="A391" s="64"/>
    </row>
    <row r="392" ht="40.5" customHeight="1">
      <c r="A392" s="64"/>
    </row>
    <row r="393" ht="40.5" customHeight="1">
      <c r="A393" s="64"/>
    </row>
    <row r="394" ht="40.5" customHeight="1">
      <c r="A394" s="64"/>
    </row>
    <row r="395" ht="40.5" customHeight="1">
      <c r="A395" s="64"/>
    </row>
    <row r="396" ht="40.5" customHeight="1">
      <c r="A396" s="64"/>
    </row>
    <row r="397" ht="40.5" customHeight="1">
      <c r="A397" s="64"/>
    </row>
    <row r="398" ht="40.5" customHeight="1">
      <c r="A398" s="64"/>
    </row>
    <row r="399" ht="40.5" customHeight="1">
      <c r="A399" s="64"/>
    </row>
    <row r="400" ht="40.5" customHeight="1">
      <c r="A400" s="64"/>
    </row>
    <row r="401" ht="40.5" customHeight="1">
      <c r="A401" s="64"/>
    </row>
    <row r="402" ht="40.5" customHeight="1">
      <c r="A402" s="64"/>
    </row>
    <row r="403" ht="40.5" customHeight="1">
      <c r="A403" s="64"/>
    </row>
    <row r="404" ht="40.5" customHeight="1">
      <c r="A404" s="64"/>
    </row>
    <row r="405" ht="40.5" customHeight="1">
      <c r="A405" s="64"/>
    </row>
    <row r="406" ht="40.5" customHeight="1">
      <c r="A406" s="64"/>
    </row>
    <row r="407" ht="40.5" customHeight="1">
      <c r="A407" s="64"/>
    </row>
    <row r="408" ht="40.5" customHeight="1">
      <c r="A408" s="64"/>
    </row>
    <row r="409" ht="40.5" customHeight="1">
      <c r="A409" s="64"/>
    </row>
    <row r="410" ht="40.5" customHeight="1">
      <c r="A410" s="64"/>
    </row>
    <row r="411" ht="40.5" customHeight="1">
      <c r="A411" s="64"/>
    </row>
    <row r="412" ht="40.5" customHeight="1">
      <c r="A412" s="64"/>
    </row>
    <row r="413" ht="40.5" customHeight="1">
      <c r="A413" s="64"/>
    </row>
    <row r="414" ht="40.5" customHeight="1">
      <c r="A414" s="64"/>
    </row>
    <row r="415" ht="40.5" customHeight="1">
      <c r="A415" s="64"/>
    </row>
    <row r="416" ht="40.5" customHeight="1">
      <c r="A416" s="64"/>
    </row>
    <row r="417" ht="40.5" customHeight="1">
      <c r="A417" s="64"/>
    </row>
    <row r="418" ht="40.5" customHeight="1">
      <c r="A418" s="64"/>
    </row>
    <row r="419" ht="40.5" customHeight="1">
      <c r="A419" s="64"/>
    </row>
    <row r="420" ht="40.5" customHeight="1">
      <c r="A420" s="64"/>
    </row>
    <row r="421" ht="40.5" customHeight="1">
      <c r="A421" s="64"/>
    </row>
    <row r="422" ht="40.5" customHeight="1">
      <c r="A422" s="64"/>
    </row>
    <row r="423" ht="40.5" customHeight="1">
      <c r="A423" s="64"/>
    </row>
    <row r="424" ht="40.5" customHeight="1">
      <c r="A424" s="64"/>
    </row>
    <row r="425" ht="40.5" customHeight="1">
      <c r="A425" s="64"/>
    </row>
    <row r="426" ht="40.5" customHeight="1">
      <c r="A426" s="64"/>
    </row>
    <row r="427" ht="40.5" customHeight="1">
      <c r="A427" s="64"/>
    </row>
    <row r="428" ht="40.5" customHeight="1">
      <c r="A428" s="64"/>
    </row>
    <row r="429" ht="40.5" customHeight="1">
      <c r="A429" s="64"/>
    </row>
    <row r="430" ht="40.5" customHeight="1">
      <c r="A430" s="64"/>
    </row>
    <row r="431" ht="40.5" customHeight="1">
      <c r="A431" s="64"/>
    </row>
    <row r="432" ht="40.5" customHeight="1">
      <c r="A432" s="64"/>
    </row>
    <row r="433" ht="40.5" customHeight="1">
      <c r="A433" s="64"/>
    </row>
    <row r="434" ht="40.5" customHeight="1">
      <c r="A434" s="64"/>
    </row>
    <row r="435" ht="40.5" customHeight="1">
      <c r="A435" s="64"/>
    </row>
    <row r="436" ht="40.5" customHeight="1">
      <c r="A436" s="64"/>
    </row>
    <row r="437" ht="40.5" customHeight="1">
      <c r="A437" s="64"/>
    </row>
    <row r="438" ht="40.5" customHeight="1">
      <c r="A438" s="64"/>
    </row>
    <row r="439" ht="40.5" customHeight="1">
      <c r="A439" s="64"/>
    </row>
    <row r="440" ht="40.5" customHeight="1">
      <c r="A440" s="64"/>
    </row>
    <row r="441" ht="40.5" customHeight="1">
      <c r="A441" s="64"/>
    </row>
    <row r="442" ht="40.5" customHeight="1">
      <c r="A442" s="64"/>
    </row>
    <row r="443" ht="40.5" customHeight="1">
      <c r="A443" s="64"/>
    </row>
    <row r="444" ht="40.5" customHeight="1">
      <c r="A444" s="64"/>
    </row>
    <row r="445" ht="40.5" customHeight="1">
      <c r="A445" s="64"/>
    </row>
    <row r="446" ht="40.5" customHeight="1">
      <c r="A446" s="64"/>
    </row>
    <row r="447" ht="40.5" customHeight="1">
      <c r="A447" s="64"/>
    </row>
    <row r="448" ht="40.5" customHeight="1">
      <c r="A448" s="64"/>
    </row>
    <row r="449" ht="40.5" customHeight="1">
      <c r="A449" s="64"/>
    </row>
    <row r="450" ht="40.5" customHeight="1">
      <c r="A450" s="64"/>
    </row>
    <row r="451" ht="40.5" customHeight="1">
      <c r="A451" s="64"/>
    </row>
    <row r="452" ht="40.5" customHeight="1">
      <c r="A452" s="64"/>
    </row>
    <row r="453" ht="40.5" customHeight="1">
      <c r="A453" s="64"/>
    </row>
    <row r="454" ht="40.5" customHeight="1">
      <c r="A454" s="64"/>
    </row>
    <row r="455" ht="40.5" customHeight="1">
      <c r="A455" s="64"/>
    </row>
    <row r="456" ht="40.5" customHeight="1">
      <c r="A456" s="64"/>
    </row>
    <row r="457" ht="40.5" customHeight="1">
      <c r="A457" s="64"/>
    </row>
    <row r="458" ht="40.5" customHeight="1">
      <c r="A458" s="64"/>
    </row>
    <row r="459" ht="40.5" customHeight="1">
      <c r="A459" s="64"/>
    </row>
    <row r="460" ht="40.5" customHeight="1">
      <c r="A460" s="64"/>
    </row>
    <row r="461" ht="40.5" customHeight="1">
      <c r="A461" s="64"/>
    </row>
    <row r="462" ht="40.5" customHeight="1">
      <c r="A462" s="64"/>
    </row>
    <row r="463" ht="40.5" customHeight="1">
      <c r="A463" s="64"/>
    </row>
    <row r="464" ht="40.5" customHeight="1">
      <c r="A464" s="64"/>
    </row>
    <row r="465" ht="40.5" customHeight="1">
      <c r="A465" s="64"/>
    </row>
    <row r="466" ht="40.5" customHeight="1">
      <c r="A466" s="64"/>
    </row>
    <row r="467" ht="40.5" customHeight="1">
      <c r="A467" s="64"/>
    </row>
    <row r="468" ht="40.5" customHeight="1">
      <c r="A468" s="64"/>
    </row>
    <row r="469" ht="40.5" customHeight="1">
      <c r="A469" s="64"/>
    </row>
    <row r="470" ht="40.5" customHeight="1">
      <c r="A470" s="64"/>
    </row>
    <row r="471" ht="40.5" customHeight="1">
      <c r="A471" s="64"/>
    </row>
    <row r="472" ht="40.5" customHeight="1">
      <c r="A472" s="64"/>
    </row>
    <row r="473" ht="40.5" customHeight="1">
      <c r="A473" s="64"/>
    </row>
    <row r="474" ht="40.5" customHeight="1">
      <c r="A474" s="64"/>
    </row>
    <row r="475" ht="40.5" customHeight="1">
      <c r="A475" s="64"/>
    </row>
    <row r="476" ht="40.5" customHeight="1">
      <c r="A476" s="64"/>
    </row>
    <row r="477" ht="40.5" customHeight="1">
      <c r="A477" s="64"/>
    </row>
    <row r="478" ht="40.5" customHeight="1">
      <c r="A478" s="64"/>
    </row>
    <row r="479" ht="40.5" customHeight="1">
      <c r="A479" s="64"/>
    </row>
    <row r="480" ht="40.5" customHeight="1">
      <c r="A480" s="64"/>
    </row>
    <row r="481" ht="40.5" customHeight="1">
      <c r="A481" s="64"/>
    </row>
    <row r="482" ht="40.5" customHeight="1">
      <c r="A482" s="64"/>
    </row>
    <row r="483" ht="40.5" customHeight="1">
      <c r="A483" s="64"/>
    </row>
    <row r="484" ht="40.5" customHeight="1">
      <c r="A484" s="64"/>
    </row>
    <row r="485" ht="40.5" customHeight="1">
      <c r="A485" s="64"/>
    </row>
    <row r="486" ht="40.5" customHeight="1">
      <c r="A486" s="64"/>
    </row>
    <row r="487" ht="40.5" customHeight="1">
      <c r="A487" s="64"/>
    </row>
    <row r="488" ht="40.5" customHeight="1">
      <c r="A488" s="64"/>
    </row>
    <row r="489" ht="40.5" customHeight="1">
      <c r="A489" s="64"/>
    </row>
    <row r="490" ht="40.5" customHeight="1">
      <c r="A490" s="64"/>
    </row>
    <row r="491" ht="40.5" customHeight="1">
      <c r="A491" s="64"/>
    </row>
    <row r="492" ht="40.5" customHeight="1">
      <c r="A492" s="64"/>
    </row>
    <row r="493" ht="40.5" customHeight="1">
      <c r="A493" s="64"/>
    </row>
    <row r="494" ht="40.5" customHeight="1">
      <c r="A494" s="64"/>
    </row>
    <row r="495" ht="40.5" customHeight="1">
      <c r="A495" s="64"/>
    </row>
    <row r="496" ht="40.5" customHeight="1">
      <c r="A496" s="64"/>
    </row>
    <row r="497" ht="40.5" customHeight="1">
      <c r="A497" s="64"/>
    </row>
    <row r="498" ht="40.5" customHeight="1">
      <c r="A498" s="64"/>
    </row>
    <row r="499" ht="40.5" customHeight="1">
      <c r="A499" s="64"/>
    </row>
    <row r="500" ht="40.5" customHeight="1">
      <c r="A500" s="64"/>
    </row>
    <row r="501" ht="40.5" customHeight="1">
      <c r="A501" s="64"/>
    </row>
    <row r="502" ht="40.5" customHeight="1">
      <c r="A502" s="64"/>
    </row>
    <row r="503" ht="40.5" customHeight="1">
      <c r="A503" s="64"/>
    </row>
    <row r="504" ht="40.5" customHeight="1">
      <c r="A504" s="64"/>
    </row>
    <row r="505" ht="40.5" customHeight="1">
      <c r="A505" s="64"/>
    </row>
    <row r="506" ht="40.5" customHeight="1">
      <c r="A506" s="64"/>
    </row>
    <row r="507" ht="40.5" customHeight="1">
      <c r="A507" s="64"/>
    </row>
    <row r="508" ht="40.5" customHeight="1">
      <c r="A508" s="64"/>
    </row>
    <row r="509" ht="40.5" customHeight="1">
      <c r="A509" s="64"/>
    </row>
    <row r="510" ht="40.5" customHeight="1">
      <c r="A510" s="64"/>
    </row>
    <row r="511" ht="40.5" customHeight="1">
      <c r="A511" s="64"/>
    </row>
    <row r="512" ht="40.5" customHeight="1">
      <c r="A512" s="64"/>
    </row>
    <row r="513" ht="40.5" customHeight="1">
      <c r="A513" s="64"/>
    </row>
    <row r="514" ht="40.5" customHeight="1">
      <c r="A514" s="64"/>
    </row>
    <row r="515" ht="40.5" customHeight="1">
      <c r="A515" s="64"/>
    </row>
    <row r="516" ht="40.5" customHeight="1">
      <c r="A516" s="64"/>
    </row>
    <row r="517" ht="40.5" customHeight="1">
      <c r="A517" s="64"/>
    </row>
    <row r="518" ht="40.5" customHeight="1">
      <c r="A518" s="64"/>
    </row>
    <row r="519" ht="40.5" customHeight="1">
      <c r="A519" s="64"/>
    </row>
    <row r="520" ht="40.5" customHeight="1">
      <c r="A520" s="64"/>
    </row>
    <row r="521" ht="40.5" customHeight="1">
      <c r="A521" s="64"/>
    </row>
    <row r="522" ht="40.5" customHeight="1">
      <c r="A522" s="64"/>
    </row>
    <row r="523" ht="40.5" customHeight="1">
      <c r="A523" s="64"/>
    </row>
    <row r="524" ht="40.5" customHeight="1">
      <c r="A524" s="64"/>
    </row>
    <row r="525" ht="40.5" customHeight="1">
      <c r="A525" s="64"/>
    </row>
    <row r="526" ht="40.5" customHeight="1">
      <c r="A526" s="64"/>
    </row>
    <row r="527" ht="40.5" customHeight="1">
      <c r="A527" s="64"/>
    </row>
    <row r="528" ht="40.5" customHeight="1">
      <c r="A528" s="64"/>
    </row>
    <row r="529" ht="40.5" customHeight="1">
      <c r="A529" s="64"/>
    </row>
    <row r="530" ht="40.5" customHeight="1">
      <c r="A530" s="64"/>
    </row>
    <row r="531" ht="40.5" customHeight="1">
      <c r="A531" s="64"/>
    </row>
    <row r="532" ht="40.5" customHeight="1">
      <c r="A532" s="64"/>
    </row>
    <row r="533" ht="40.5" customHeight="1">
      <c r="A533" s="64"/>
    </row>
    <row r="534" ht="40.5" customHeight="1">
      <c r="A534" s="64"/>
    </row>
    <row r="535" ht="40.5" customHeight="1">
      <c r="A535" s="64"/>
    </row>
    <row r="536" ht="40.5" customHeight="1">
      <c r="A536" s="64"/>
    </row>
    <row r="537" ht="40.5" customHeight="1">
      <c r="A537" s="64"/>
    </row>
    <row r="538" ht="40.5" customHeight="1">
      <c r="A538" s="64"/>
    </row>
    <row r="539" ht="40.5" customHeight="1">
      <c r="A539" s="64"/>
    </row>
    <row r="540" ht="40.5" customHeight="1">
      <c r="A540" s="64"/>
    </row>
    <row r="541" ht="40.5" customHeight="1">
      <c r="A541" s="64"/>
    </row>
    <row r="542" ht="40.5" customHeight="1">
      <c r="A542" s="64"/>
    </row>
    <row r="543" ht="40.5" customHeight="1">
      <c r="A543" s="64"/>
    </row>
    <row r="544" ht="40.5" customHeight="1">
      <c r="A544" s="64"/>
    </row>
    <row r="545" ht="40.5" customHeight="1">
      <c r="A545" s="64"/>
    </row>
    <row r="546" ht="40.5" customHeight="1">
      <c r="A546" s="64"/>
    </row>
    <row r="547" ht="40.5" customHeight="1">
      <c r="A547" s="64"/>
    </row>
    <row r="548" ht="40.5" customHeight="1">
      <c r="A548" s="64"/>
    </row>
    <row r="549" ht="40.5" customHeight="1">
      <c r="A549" s="64"/>
    </row>
    <row r="550" ht="40.5" customHeight="1">
      <c r="A550" s="64"/>
    </row>
    <row r="551" ht="40.5" customHeight="1">
      <c r="A551" s="64"/>
    </row>
    <row r="552" ht="40.5" customHeight="1">
      <c r="A552" s="64"/>
    </row>
    <row r="553" ht="40.5" customHeight="1">
      <c r="A553" s="64"/>
    </row>
    <row r="554" ht="40.5" customHeight="1">
      <c r="A554" s="64"/>
    </row>
    <row r="555" ht="40.5" customHeight="1">
      <c r="A555" s="64"/>
    </row>
    <row r="556" ht="40.5" customHeight="1">
      <c r="A556" s="64"/>
    </row>
    <row r="557" ht="40.5" customHeight="1">
      <c r="A557" s="64"/>
    </row>
    <row r="558" ht="40.5" customHeight="1">
      <c r="A558" s="64"/>
    </row>
    <row r="559" ht="40.5" customHeight="1">
      <c r="A559" s="64"/>
    </row>
    <row r="560" ht="40.5" customHeight="1">
      <c r="A560" s="64"/>
    </row>
    <row r="561" ht="40.5" customHeight="1">
      <c r="A561" s="64"/>
    </row>
    <row r="562" ht="40.5" customHeight="1">
      <c r="A562" s="64"/>
    </row>
    <row r="563" ht="40.5" customHeight="1">
      <c r="A563" s="64"/>
    </row>
    <row r="564" ht="40.5" customHeight="1">
      <c r="A564" s="64"/>
    </row>
    <row r="565" ht="40.5" customHeight="1">
      <c r="A565" s="64"/>
    </row>
    <row r="566" ht="40.5" customHeight="1">
      <c r="A566" s="64"/>
    </row>
    <row r="567" ht="40.5" customHeight="1">
      <c r="A567" s="64"/>
    </row>
    <row r="568" ht="40.5" customHeight="1">
      <c r="A568" s="64"/>
    </row>
    <row r="569" ht="40.5" customHeight="1">
      <c r="A569" s="64"/>
    </row>
    <row r="570" ht="40.5" customHeight="1">
      <c r="A570" s="64"/>
    </row>
    <row r="571" ht="40.5" customHeight="1">
      <c r="A571" s="64"/>
    </row>
    <row r="572" ht="40.5" customHeight="1">
      <c r="A572" s="64"/>
    </row>
    <row r="573" ht="40.5" customHeight="1">
      <c r="A573" s="64"/>
    </row>
    <row r="574" ht="40.5" customHeight="1">
      <c r="A574" s="64"/>
    </row>
    <row r="575" ht="40.5" customHeight="1">
      <c r="A575" s="64"/>
    </row>
    <row r="576" ht="40.5" customHeight="1">
      <c r="A576" s="64"/>
    </row>
    <row r="577" ht="40.5" customHeight="1">
      <c r="A577" s="64"/>
    </row>
    <row r="578" ht="40.5" customHeight="1">
      <c r="A578" s="64"/>
    </row>
    <row r="579" ht="40.5" customHeight="1">
      <c r="A579" s="64"/>
    </row>
    <row r="580" ht="40.5" customHeight="1">
      <c r="A580" s="64"/>
    </row>
    <row r="581" ht="40.5" customHeight="1">
      <c r="A581" s="64"/>
    </row>
    <row r="582" ht="40.5" customHeight="1">
      <c r="A582" s="64"/>
    </row>
    <row r="583" ht="40.5" customHeight="1">
      <c r="A583" s="64"/>
    </row>
    <row r="584" ht="40.5" customHeight="1">
      <c r="A584" s="64"/>
    </row>
    <row r="585" ht="40.5" customHeight="1">
      <c r="A585" s="64"/>
    </row>
    <row r="586" ht="40.5" customHeight="1">
      <c r="A586" s="64"/>
    </row>
    <row r="587" ht="40.5" customHeight="1">
      <c r="A587" s="64"/>
    </row>
    <row r="588" ht="40.5" customHeight="1">
      <c r="A588" s="64"/>
    </row>
    <row r="589" ht="40.5" customHeight="1">
      <c r="A589" s="64"/>
    </row>
    <row r="590" ht="40.5" customHeight="1">
      <c r="A590" s="64"/>
    </row>
    <row r="591" ht="40.5" customHeight="1">
      <c r="A591" s="64"/>
    </row>
    <row r="592" ht="40.5" customHeight="1">
      <c r="A592" s="64"/>
    </row>
    <row r="593" ht="40.5" customHeight="1">
      <c r="A593" s="64"/>
    </row>
    <row r="594" ht="40.5" customHeight="1">
      <c r="A594" s="64"/>
    </row>
    <row r="595" ht="40.5" customHeight="1">
      <c r="A595" s="64"/>
    </row>
    <row r="596" ht="40.5" customHeight="1">
      <c r="A596" s="64"/>
    </row>
    <row r="597" ht="40.5" customHeight="1">
      <c r="A597" s="64"/>
    </row>
    <row r="598" ht="40.5" customHeight="1">
      <c r="A598" s="64"/>
    </row>
    <row r="599" ht="40.5" customHeight="1">
      <c r="A599" s="64"/>
    </row>
    <row r="600" ht="40.5" customHeight="1">
      <c r="A600" s="64"/>
    </row>
    <row r="601" ht="40.5" customHeight="1">
      <c r="A601" s="64"/>
    </row>
    <row r="602" ht="40.5" customHeight="1">
      <c r="A602" s="64"/>
    </row>
    <row r="603" ht="40.5" customHeight="1">
      <c r="A603" s="64"/>
    </row>
    <row r="604" ht="40.5" customHeight="1">
      <c r="A604" s="64"/>
    </row>
    <row r="605" ht="40.5" customHeight="1">
      <c r="A605" s="64"/>
    </row>
    <row r="606" ht="40.5" customHeight="1">
      <c r="A606" s="64"/>
    </row>
    <row r="607" ht="40.5" customHeight="1">
      <c r="A607" s="64"/>
    </row>
    <row r="608" ht="40.5" customHeight="1">
      <c r="A608" s="64"/>
    </row>
    <row r="609" ht="40.5" customHeight="1">
      <c r="A609" s="64"/>
    </row>
    <row r="610" ht="40.5" customHeight="1">
      <c r="A610" s="64"/>
    </row>
    <row r="611" ht="40.5" customHeight="1">
      <c r="A611" s="64"/>
    </row>
    <row r="612" ht="40.5" customHeight="1">
      <c r="A612" s="64"/>
    </row>
    <row r="613" ht="40.5" customHeight="1">
      <c r="A613" s="64"/>
    </row>
    <row r="614" ht="40.5" customHeight="1">
      <c r="A614" s="64"/>
    </row>
    <row r="615" ht="40.5" customHeight="1">
      <c r="A615" s="64"/>
    </row>
    <row r="616" ht="40.5" customHeight="1">
      <c r="A616" s="64"/>
    </row>
    <row r="617" ht="40.5" customHeight="1">
      <c r="A617" s="64"/>
    </row>
    <row r="618" ht="40.5" customHeight="1">
      <c r="A618" s="64"/>
    </row>
    <row r="619" ht="40.5" customHeight="1">
      <c r="A619" s="64"/>
    </row>
    <row r="620" ht="40.5" customHeight="1">
      <c r="A620" s="64"/>
    </row>
    <row r="621" ht="40.5" customHeight="1">
      <c r="A621" s="64"/>
    </row>
    <row r="622" ht="40.5" customHeight="1">
      <c r="A622" s="64"/>
    </row>
    <row r="623" ht="40.5" customHeight="1">
      <c r="A623" s="64"/>
    </row>
    <row r="624" ht="40.5" customHeight="1">
      <c r="A624" s="64"/>
    </row>
    <row r="625" ht="40.5" customHeight="1">
      <c r="A625" s="64"/>
    </row>
    <row r="626" ht="40.5" customHeight="1">
      <c r="A626" s="64"/>
    </row>
    <row r="627" ht="40.5" customHeight="1">
      <c r="A627" s="64"/>
    </row>
    <row r="628" ht="40.5" customHeight="1">
      <c r="A628" s="64"/>
    </row>
    <row r="629" ht="40.5" customHeight="1">
      <c r="A629" s="64"/>
    </row>
    <row r="630" ht="40.5" customHeight="1">
      <c r="A630" s="64"/>
    </row>
    <row r="631" ht="40.5" customHeight="1">
      <c r="A631" s="64"/>
    </row>
    <row r="632" ht="40.5" customHeight="1">
      <c r="A632" s="64"/>
    </row>
    <row r="633" ht="40.5" customHeight="1">
      <c r="A633" s="64"/>
    </row>
    <row r="634" ht="40.5" customHeight="1">
      <c r="A634" s="64"/>
    </row>
    <row r="635" ht="40.5" customHeight="1">
      <c r="A635" s="64"/>
    </row>
    <row r="636" ht="40.5" customHeight="1">
      <c r="A636" s="64"/>
    </row>
    <row r="637" ht="40.5" customHeight="1">
      <c r="A637" s="64"/>
    </row>
    <row r="638" ht="40.5" customHeight="1">
      <c r="A638" s="64"/>
    </row>
    <row r="639" ht="40.5" customHeight="1">
      <c r="A639" s="64"/>
    </row>
    <row r="640" ht="40.5" customHeight="1">
      <c r="A640" s="64"/>
    </row>
    <row r="641" ht="40.5" customHeight="1">
      <c r="A641" s="64"/>
    </row>
    <row r="642" ht="40.5" customHeight="1">
      <c r="A642" s="64"/>
    </row>
    <row r="643" ht="40.5" customHeight="1">
      <c r="A643" s="64"/>
    </row>
    <row r="644" ht="40.5" customHeight="1">
      <c r="A644" s="64"/>
    </row>
    <row r="645" ht="40.5" customHeight="1">
      <c r="A645" s="64"/>
    </row>
    <row r="646" ht="40.5" customHeight="1">
      <c r="A646" s="64"/>
    </row>
    <row r="647" ht="40.5" customHeight="1">
      <c r="A647" s="64"/>
    </row>
    <row r="648" ht="40.5" customHeight="1">
      <c r="A648" s="64"/>
    </row>
    <row r="649" ht="40.5" customHeight="1">
      <c r="A649" s="64"/>
    </row>
    <row r="650" ht="40.5" customHeight="1">
      <c r="A650" s="64"/>
    </row>
    <row r="651" ht="40.5" customHeight="1">
      <c r="A651" s="64"/>
    </row>
    <row r="652" ht="40.5" customHeight="1">
      <c r="A652" s="64"/>
    </row>
    <row r="653" ht="40.5" customHeight="1">
      <c r="A653" s="64"/>
    </row>
    <row r="654" ht="40.5" customHeight="1">
      <c r="A654" s="64"/>
    </row>
    <row r="655" ht="40.5" customHeight="1">
      <c r="A655" s="64"/>
    </row>
    <row r="656" ht="40.5" customHeight="1">
      <c r="A656" s="64"/>
    </row>
    <row r="657" ht="40.5" customHeight="1">
      <c r="A657" s="64"/>
    </row>
    <row r="658" ht="40.5" customHeight="1">
      <c r="A658" s="64"/>
    </row>
    <row r="659" ht="40.5" customHeight="1">
      <c r="A659" s="64"/>
    </row>
    <row r="660" ht="40.5" customHeight="1">
      <c r="A660" s="64"/>
    </row>
    <row r="661" ht="40.5" customHeight="1">
      <c r="A661" s="64"/>
    </row>
    <row r="662" ht="40.5" customHeight="1">
      <c r="A662" s="64"/>
    </row>
    <row r="663" ht="40.5" customHeight="1">
      <c r="A663" s="64"/>
    </row>
    <row r="664" ht="40.5" customHeight="1">
      <c r="A664" s="64"/>
    </row>
    <row r="665" ht="40.5" customHeight="1">
      <c r="A665" s="64"/>
    </row>
    <row r="666" ht="40.5" customHeight="1">
      <c r="A666" s="64"/>
    </row>
    <row r="667" ht="40.5" customHeight="1">
      <c r="A667" s="64"/>
    </row>
    <row r="668" ht="40.5" customHeight="1">
      <c r="A668" s="64"/>
    </row>
    <row r="669" ht="40.5" customHeight="1">
      <c r="A669" s="64"/>
    </row>
    <row r="670" ht="40.5" customHeight="1">
      <c r="A670" s="64"/>
    </row>
    <row r="671" ht="40.5" customHeight="1">
      <c r="A671" s="64"/>
    </row>
    <row r="672" ht="40.5" customHeight="1">
      <c r="A672" s="64"/>
    </row>
    <row r="673" ht="40.5" customHeight="1">
      <c r="A673" s="64"/>
    </row>
    <row r="674" ht="40.5" customHeight="1">
      <c r="A674" s="64"/>
    </row>
    <row r="675" ht="40.5" customHeight="1">
      <c r="A675" s="64"/>
    </row>
    <row r="676" ht="40.5" customHeight="1">
      <c r="A676" s="64"/>
    </row>
    <row r="677" ht="40.5" customHeight="1">
      <c r="A677" s="64"/>
    </row>
    <row r="678" ht="40.5" customHeight="1">
      <c r="A678" s="64"/>
    </row>
    <row r="679" ht="40.5" customHeight="1">
      <c r="A679" s="64"/>
    </row>
    <row r="680" ht="40.5" customHeight="1">
      <c r="A680" s="64"/>
    </row>
    <row r="681" ht="40.5" customHeight="1">
      <c r="A681" s="64"/>
    </row>
    <row r="682" ht="40.5" customHeight="1">
      <c r="A682" s="64"/>
    </row>
    <row r="683" ht="40.5" customHeight="1">
      <c r="A683" s="64"/>
    </row>
    <row r="684" ht="40.5" customHeight="1">
      <c r="A684" s="64"/>
    </row>
    <row r="685" ht="40.5" customHeight="1">
      <c r="A685" s="64"/>
    </row>
    <row r="686" ht="40.5" customHeight="1">
      <c r="A686" s="64"/>
    </row>
    <row r="687" ht="40.5" customHeight="1">
      <c r="A687" s="64"/>
    </row>
    <row r="688" ht="40.5" customHeight="1">
      <c r="A688" s="64"/>
    </row>
    <row r="689" ht="40.5" customHeight="1">
      <c r="A689" s="64"/>
    </row>
    <row r="690" ht="40.5" customHeight="1">
      <c r="A690" s="64"/>
    </row>
    <row r="691" ht="40.5" customHeight="1">
      <c r="A691" s="64"/>
    </row>
    <row r="692" ht="40.5" customHeight="1">
      <c r="A692" s="64"/>
    </row>
    <row r="693" ht="40.5" customHeight="1">
      <c r="A693" s="64"/>
    </row>
    <row r="694" ht="40.5" customHeight="1">
      <c r="A694" s="64"/>
    </row>
    <row r="695" ht="40.5" customHeight="1">
      <c r="A695" s="64"/>
    </row>
    <row r="696" ht="40.5" customHeight="1">
      <c r="A696" s="64"/>
    </row>
    <row r="697" ht="40.5" customHeight="1">
      <c r="A697" s="64"/>
    </row>
    <row r="698" ht="40.5" customHeight="1">
      <c r="A698" s="64"/>
    </row>
    <row r="699" ht="40.5" customHeight="1">
      <c r="A699" s="64"/>
    </row>
    <row r="700" ht="40.5" customHeight="1">
      <c r="A700" s="64"/>
    </row>
    <row r="701" ht="40.5" customHeight="1">
      <c r="A701" s="64"/>
    </row>
    <row r="702" ht="40.5" customHeight="1">
      <c r="A702" s="64"/>
    </row>
    <row r="703" ht="40.5" customHeight="1">
      <c r="A703" s="64"/>
    </row>
    <row r="704" ht="40.5" customHeight="1">
      <c r="A704" s="64"/>
    </row>
    <row r="705" ht="40.5" customHeight="1">
      <c r="A705" s="64"/>
    </row>
    <row r="706" ht="40.5" customHeight="1">
      <c r="A706" s="64"/>
    </row>
    <row r="707" ht="40.5" customHeight="1">
      <c r="A707" s="64"/>
    </row>
    <row r="708" ht="40.5" customHeight="1">
      <c r="A708" s="64"/>
    </row>
    <row r="709" ht="40.5" customHeight="1">
      <c r="A709" s="64"/>
    </row>
    <row r="710" ht="40.5" customHeight="1">
      <c r="A710" s="64"/>
    </row>
    <row r="711" ht="40.5" customHeight="1">
      <c r="A711" s="64"/>
    </row>
    <row r="712" ht="40.5" customHeight="1">
      <c r="A712" s="64"/>
    </row>
    <row r="713" ht="40.5" customHeight="1">
      <c r="A713" s="64"/>
    </row>
    <row r="714" ht="40.5" customHeight="1">
      <c r="A714" s="64"/>
    </row>
    <row r="715" ht="40.5" customHeight="1">
      <c r="A715" s="64"/>
    </row>
    <row r="716" ht="40.5" customHeight="1">
      <c r="A716" s="64"/>
    </row>
    <row r="717" ht="40.5" customHeight="1">
      <c r="A717" s="64"/>
    </row>
    <row r="718" ht="40.5" customHeight="1">
      <c r="A718" s="64"/>
    </row>
    <row r="719" ht="40.5" customHeight="1">
      <c r="A719" s="64"/>
    </row>
    <row r="720" ht="40.5" customHeight="1">
      <c r="A720" s="64"/>
    </row>
    <row r="721" ht="40.5" customHeight="1">
      <c r="A721" s="64"/>
    </row>
    <row r="722" ht="40.5" customHeight="1">
      <c r="A722" s="64"/>
    </row>
    <row r="723" ht="40.5" customHeight="1">
      <c r="A723" s="64"/>
    </row>
    <row r="724" ht="40.5" customHeight="1">
      <c r="A724" s="64"/>
    </row>
    <row r="725" ht="40.5" customHeight="1">
      <c r="A725" s="64"/>
    </row>
    <row r="726" ht="40.5" customHeight="1">
      <c r="A726" s="64"/>
    </row>
    <row r="727" ht="40.5" customHeight="1">
      <c r="A727" s="64"/>
    </row>
    <row r="728" ht="40.5" customHeight="1">
      <c r="A728" s="64"/>
    </row>
    <row r="729" ht="40.5" customHeight="1">
      <c r="A729" s="64"/>
    </row>
    <row r="730" ht="40.5" customHeight="1">
      <c r="A730" s="64"/>
    </row>
    <row r="731" ht="40.5" customHeight="1">
      <c r="A731" s="64"/>
    </row>
    <row r="732" ht="40.5" customHeight="1">
      <c r="A732" s="64"/>
    </row>
    <row r="733" ht="40.5" customHeight="1">
      <c r="A733" s="64"/>
    </row>
    <row r="734" ht="40.5" customHeight="1">
      <c r="A734" s="64"/>
    </row>
    <row r="735" ht="40.5" customHeight="1">
      <c r="A735" s="64"/>
    </row>
    <row r="736" ht="40.5" customHeight="1">
      <c r="A736" s="64"/>
    </row>
    <row r="737" ht="40.5" customHeight="1">
      <c r="A737" s="64"/>
    </row>
    <row r="738" ht="40.5" customHeight="1">
      <c r="A738" s="64"/>
    </row>
    <row r="739" ht="40.5" customHeight="1">
      <c r="A739" s="64"/>
    </row>
    <row r="740" ht="40.5" customHeight="1">
      <c r="A740" s="64"/>
    </row>
    <row r="741" ht="40.5" customHeight="1">
      <c r="A741" s="64"/>
    </row>
    <row r="742" ht="40.5" customHeight="1">
      <c r="A742" s="64"/>
    </row>
    <row r="743" ht="40.5" customHeight="1">
      <c r="A743" s="64"/>
    </row>
    <row r="744" ht="40.5" customHeight="1">
      <c r="A744" s="64"/>
    </row>
    <row r="745" ht="40.5" customHeight="1">
      <c r="A745" s="64"/>
    </row>
    <row r="746" ht="40.5" customHeight="1">
      <c r="A746" s="64"/>
    </row>
    <row r="747" ht="40.5" customHeight="1">
      <c r="A747" s="64"/>
    </row>
    <row r="748" ht="40.5" customHeight="1">
      <c r="A748" s="64"/>
    </row>
    <row r="749" ht="40.5" customHeight="1">
      <c r="A749" s="64"/>
    </row>
    <row r="750" ht="40.5" customHeight="1">
      <c r="A750" s="64"/>
    </row>
    <row r="751" ht="40.5" customHeight="1">
      <c r="A751" s="64"/>
    </row>
    <row r="752" ht="40.5" customHeight="1">
      <c r="A752" s="64"/>
    </row>
    <row r="753" ht="40.5" customHeight="1">
      <c r="A753" s="64"/>
    </row>
    <row r="754" ht="40.5" customHeight="1">
      <c r="A754" s="64"/>
    </row>
    <row r="755" ht="40.5" customHeight="1">
      <c r="A755" s="64"/>
    </row>
    <row r="756" ht="40.5" customHeight="1">
      <c r="A756" s="64"/>
    </row>
    <row r="757" ht="40.5" customHeight="1">
      <c r="A757" s="64"/>
    </row>
    <row r="758" ht="40.5" customHeight="1">
      <c r="A758" s="64"/>
    </row>
    <row r="759" ht="40.5" customHeight="1">
      <c r="A759" s="64"/>
    </row>
    <row r="760" ht="40.5" customHeight="1">
      <c r="A760" s="64"/>
    </row>
    <row r="761" ht="40.5" customHeight="1">
      <c r="A761" s="64"/>
    </row>
    <row r="762" ht="40.5" customHeight="1">
      <c r="A762" s="64"/>
    </row>
    <row r="763" ht="40.5" customHeight="1">
      <c r="A763" s="64"/>
    </row>
    <row r="764" ht="40.5" customHeight="1">
      <c r="A764" s="64"/>
    </row>
    <row r="765" ht="40.5" customHeight="1">
      <c r="A765" s="64"/>
    </row>
    <row r="766" ht="40.5" customHeight="1">
      <c r="A766" s="64"/>
    </row>
    <row r="767" ht="40.5" customHeight="1">
      <c r="A767" s="64"/>
    </row>
    <row r="768" ht="40.5" customHeight="1">
      <c r="A768" s="64"/>
    </row>
    <row r="769" ht="40.5" customHeight="1">
      <c r="A769" s="64"/>
    </row>
    <row r="770" ht="40.5" customHeight="1">
      <c r="A770" s="64"/>
    </row>
    <row r="771" ht="40.5" customHeight="1">
      <c r="A771" s="64"/>
    </row>
    <row r="772" ht="40.5" customHeight="1">
      <c r="A772" s="64"/>
    </row>
    <row r="773" ht="40.5" customHeight="1">
      <c r="A773" s="64"/>
    </row>
    <row r="774" ht="40.5" customHeight="1">
      <c r="A774" s="64"/>
    </row>
    <row r="775" ht="40.5" customHeight="1">
      <c r="A775" s="64"/>
    </row>
    <row r="776" ht="40.5" customHeight="1">
      <c r="A776" s="64"/>
    </row>
    <row r="777" ht="40.5" customHeight="1">
      <c r="A777" s="64"/>
    </row>
    <row r="778" ht="40.5" customHeight="1">
      <c r="A778" s="64"/>
    </row>
    <row r="779" ht="40.5" customHeight="1">
      <c r="A779" s="64"/>
    </row>
    <row r="780" ht="40.5" customHeight="1">
      <c r="A780" s="64"/>
    </row>
    <row r="781" ht="40.5" customHeight="1">
      <c r="A781" s="64"/>
    </row>
    <row r="782" ht="40.5" customHeight="1">
      <c r="A782" s="64"/>
    </row>
    <row r="783" ht="40.5" customHeight="1">
      <c r="A783" s="64"/>
    </row>
    <row r="784" ht="40.5" customHeight="1">
      <c r="A784" s="64"/>
    </row>
    <row r="785" ht="40.5" customHeight="1">
      <c r="A785" s="64"/>
    </row>
    <row r="786" ht="40.5" customHeight="1">
      <c r="A786" s="64"/>
    </row>
    <row r="787" ht="40.5" customHeight="1">
      <c r="A787" s="64"/>
    </row>
    <row r="788" ht="40.5" customHeight="1">
      <c r="A788" s="64"/>
    </row>
    <row r="789" ht="40.5" customHeight="1">
      <c r="A789" s="64"/>
    </row>
    <row r="790" ht="40.5" customHeight="1">
      <c r="A790" s="64"/>
    </row>
    <row r="791" ht="40.5" customHeight="1">
      <c r="A791" s="64"/>
    </row>
    <row r="792" ht="40.5" customHeight="1">
      <c r="A792" s="64"/>
    </row>
    <row r="793" ht="40.5" customHeight="1">
      <c r="A793" s="64"/>
    </row>
    <row r="794" ht="40.5" customHeight="1">
      <c r="A794" s="64"/>
    </row>
    <row r="795" ht="40.5" customHeight="1">
      <c r="A795" s="64"/>
    </row>
    <row r="796" ht="40.5" customHeight="1">
      <c r="A796" s="64"/>
    </row>
    <row r="797" ht="40.5" customHeight="1">
      <c r="A797" s="64"/>
    </row>
    <row r="798" ht="40.5" customHeight="1">
      <c r="A798" s="64"/>
    </row>
    <row r="799" ht="40.5" customHeight="1">
      <c r="A799" s="64"/>
    </row>
    <row r="800" ht="40.5" customHeight="1">
      <c r="A800" s="64"/>
    </row>
    <row r="801" ht="40.5" customHeight="1">
      <c r="A801" s="64"/>
    </row>
    <row r="802" ht="40.5" customHeight="1">
      <c r="A802" s="64"/>
    </row>
    <row r="803" ht="40.5" customHeight="1">
      <c r="A803" s="64"/>
    </row>
    <row r="804" ht="40.5" customHeight="1">
      <c r="A804" s="64"/>
    </row>
    <row r="805" ht="40.5" customHeight="1">
      <c r="A805" s="64"/>
    </row>
    <row r="806" ht="40.5" customHeight="1">
      <c r="A806" s="64"/>
    </row>
    <row r="807" ht="40.5" customHeight="1">
      <c r="A807" s="64"/>
    </row>
    <row r="808" ht="40.5" customHeight="1">
      <c r="A808" s="64"/>
    </row>
    <row r="809" ht="40.5" customHeight="1">
      <c r="A809" s="64"/>
    </row>
    <row r="810" ht="40.5" customHeight="1">
      <c r="A810" s="64"/>
    </row>
    <row r="811" ht="40.5" customHeight="1">
      <c r="A811" s="64"/>
    </row>
    <row r="812" ht="40.5" customHeight="1">
      <c r="A812" s="64"/>
    </row>
    <row r="813" ht="40.5" customHeight="1">
      <c r="A813" s="64"/>
    </row>
    <row r="814" ht="40.5" customHeight="1">
      <c r="A814" s="64"/>
    </row>
    <row r="815" ht="40.5" customHeight="1">
      <c r="A815" s="64"/>
    </row>
    <row r="816" ht="40.5" customHeight="1">
      <c r="A816" s="64"/>
    </row>
    <row r="817" ht="40.5" customHeight="1">
      <c r="A817" s="64"/>
    </row>
    <row r="818" ht="40.5" customHeight="1">
      <c r="A818" s="64"/>
    </row>
    <row r="819" ht="40.5" customHeight="1">
      <c r="A819" s="64"/>
    </row>
    <row r="820" ht="40.5" customHeight="1">
      <c r="A820" s="64"/>
    </row>
    <row r="821" ht="40.5" customHeight="1">
      <c r="A821" s="64"/>
    </row>
    <row r="822" ht="40.5" customHeight="1">
      <c r="A822" s="64"/>
    </row>
    <row r="823" ht="40.5" customHeight="1">
      <c r="A823" s="64"/>
    </row>
    <row r="824" ht="40.5" customHeight="1">
      <c r="A824" s="64"/>
    </row>
    <row r="825" ht="40.5" customHeight="1">
      <c r="A825" s="64"/>
    </row>
    <row r="826" ht="40.5" customHeight="1">
      <c r="A826" s="64"/>
    </row>
    <row r="827" ht="40.5" customHeight="1">
      <c r="A827" s="64"/>
    </row>
    <row r="828" ht="40.5" customHeight="1">
      <c r="A828" s="64"/>
    </row>
    <row r="829" ht="40.5" customHeight="1">
      <c r="A829" s="64"/>
    </row>
    <row r="830" ht="40.5" customHeight="1">
      <c r="A830" s="64"/>
    </row>
    <row r="831" ht="40.5" customHeight="1">
      <c r="A831" s="64"/>
    </row>
    <row r="832" ht="40.5" customHeight="1">
      <c r="A832" s="64"/>
    </row>
    <row r="833" ht="40.5" customHeight="1">
      <c r="A833" s="64"/>
    </row>
    <row r="834" ht="40.5" customHeight="1">
      <c r="A834" s="64"/>
    </row>
    <row r="835" ht="40.5" customHeight="1">
      <c r="A835" s="64"/>
    </row>
    <row r="836" ht="40.5" customHeight="1">
      <c r="A836" s="64"/>
    </row>
    <row r="837" ht="40.5" customHeight="1">
      <c r="A837" s="64"/>
    </row>
    <row r="838" ht="40.5" customHeight="1">
      <c r="A838" s="64"/>
    </row>
    <row r="839" ht="40.5" customHeight="1">
      <c r="A839" s="64"/>
    </row>
    <row r="840" ht="40.5" customHeight="1">
      <c r="A840" s="64"/>
    </row>
    <row r="841" ht="40.5" customHeight="1">
      <c r="A841" s="64"/>
    </row>
    <row r="842" ht="40.5" customHeight="1">
      <c r="A842" s="64"/>
    </row>
    <row r="843" ht="40.5" customHeight="1">
      <c r="A843" s="64"/>
    </row>
    <row r="844" ht="40.5" customHeight="1">
      <c r="A844" s="64"/>
    </row>
    <row r="845" ht="40.5" customHeight="1">
      <c r="A845" s="64"/>
    </row>
    <row r="846" ht="40.5" customHeight="1">
      <c r="A846" s="64"/>
    </row>
    <row r="847" ht="40.5" customHeight="1">
      <c r="A847" s="64"/>
    </row>
    <row r="848" ht="40.5" customHeight="1">
      <c r="A848" s="64"/>
    </row>
    <row r="849" ht="40.5" customHeight="1">
      <c r="A849" s="64"/>
    </row>
    <row r="850" ht="40.5" customHeight="1">
      <c r="A850" s="64"/>
    </row>
    <row r="851" ht="40.5" customHeight="1">
      <c r="A851" s="64"/>
    </row>
    <row r="852" ht="40.5" customHeight="1">
      <c r="A852" s="64"/>
    </row>
    <row r="853" ht="40.5" customHeight="1">
      <c r="A853" s="64"/>
    </row>
    <row r="854" ht="40.5" customHeight="1">
      <c r="A854" s="64"/>
    </row>
    <row r="855" ht="40.5" customHeight="1">
      <c r="A855" s="64"/>
    </row>
    <row r="856" ht="40.5" customHeight="1">
      <c r="A856" s="64"/>
    </row>
    <row r="857" ht="40.5" customHeight="1">
      <c r="A857" s="64"/>
    </row>
    <row r="858" ht="40.5" customHeight="1">
      <c r="A858" s="64"/>
    </row>
    <row r="859" ht="40.5" customHeight="1">
      <c r="A859" s="64"/>
    </row>
    <row r="860" ht="40.5" customHeight="1">
      <c r="A860" s="64"/>
    </row>
    <row r="861" ht="40.5" customHeight="1">
      <c r="A861" s="64"/>
    </row>
    <row r="862" ht="40.5" customHeight="1">
      <c r="A862" s="64"/>
    </row>
    <row r="863" ht="40.5" customHeight="1">
      <c r="A863" s="64"/>
    </row>
    <row r="864" ht="40.5" customHeight="1">
      <c r="A864" s="64"/>
    </row>
    <row r="865" ht="40.5" customHeight="1">
      <c r="A865" s="64"/>
    </row>
    <row r="866" ht="40.5" customHeight="1">
      <c r="A866" s="64"/>
    </row>
    <row r="867" ht="40.5" customHeight="1">
      <c r="A867" s="64"/>
    </row>
    <row r="868" ht="40.5" customHeight="1">
      <c r="A868" s="64"/>
    </row>
    <row r="869" ht="40.5" customHeight="1">
      <c r="A869" s="64"/>
    </row>
    <row r="870" ht="40.5" customHeight="1">
      <c r="A870" s="64"/>
    </row>
    <row r="871" ht="40.5" customHeight="1">
      <c r="A871" s="64"/>
    </row>
    <row r="872" ht="40.5" customHeight="1">
      <c r="A872" s="64"/>
    </row>
    <row r="873" ht="40.5" customHeight="1">
      <c r="A873" s="64"/>
    </row>
    <row r="874" ht="40.5" customHeight="1">
      <c r="A874" s="64"/>
    </row>
    <row r="875" ht="40.5" customHeight="1">
      <c r="A875" s="64"/>
    </row>
    <row r="876" ht="40.5" customHeight="1">
      <c r="A876" s="64"/>
    </row>
    <row r="877" ht="40.5" customHeight="1">
      <c r="A877" s="64"/>
    </row>
    <row r="878" ht="40.5" customHeight="1">
      <c r="A878" s="64"/>
    </row>
    <row r="879" ht="40.5" customHeight="1">
      <c r="A879" s="64"/>
    </row>
    <row r="880" ht="40.5" customHeight="1">
      <c r="A880" s="64"/>
    </row>
    <row r="881" ht="40.5" customHeight="1">
      <c r="A881" s="64"/>
    </row>
    <row r="882" ht="40.5" customHeight="1">
      <c r="A882" s="64"/>
    </row>
    <row r="883" ht="40.5" customHeight="1">
      <c r="A883" s="64"/>
    </row>
    <row r="884" ht="40.5" customHeight="1">
      <c r="A884" s="64"/>
    </row>
    <row r="885" ht="40.5" customHeight="1">
      <c r="A885" s="64"/>
    </row>
    <row r="886" ht="40.5" customHeight="1">
      <c r="A886" s="64"/>
    </row>
    <row r="887" ht="40.5" customHeight="1">
      <c r="A887" s="64"/>
    </row>
    <row r="888" ht="40.5" customHeight="1">
      <c r="A888" s="64"/>
    </row>
    <row r="889" ht="40.5" customHeight="1">
      <c r="A889" s="64"/>
    </row>
    <row r="890" ht="40.5" customHeight="1">
      <c r="A890" s="64"/>
    </row>
    <row r="891" ht="40.5" customHeight="1">
      <c r="A891" s="64"/>
    </row>
    <row r="892" ht="40.5" customHeight="1">
      <c r="A892" s="64"/>
    </row>
    <row r="893" ht="40.5" customHeight="1">
      <c r="A893" s="64"/>
    </row>
    <row r="894" ht="40.5" customHeight="1">
      <c r="A894" s="64"/>
    </row>
    <row r="895" ht="40.5" customHeight="1">
      <c r="A895" s="64"/>
    </row>
    <row r="896" ht="40.5" customHeight="1">
      <c r="A896" s="64"/>
    </row>
    <row r="897" ht="40.5" customHeight="1">
      <c r="A897" s="64"/>
    </row>
    <row r="898" ht="40.5" customHeight="1">
      <c r="A898" s="64"/>
    </row>
    <row r="899" ht="40.5" customHeight="1">
      <c r="A899" s="64"/>
    </row>
    <row r="900" ht="40.5" customHeight="1">
      <c r="A900" s="64"/>
    </row>
    <row r="901" ht="40.5" customHeight="1">
      <c r="A901" s="64"/>
    </row>
    <row r="902" ht="40.5" customHeight="1">
      <c r="A902" s="64"/>
    </row>
    <row r="903" ht="40.5" customHeight="1">
      <c r="A903" s="64"/>
    </row>
    <row r="904" ht="40.5" customHeight="1">
      <c r="A904" s="64"/>
    </row>
    <row r="905" ht="40.5" customHeight="1">
      <c r="A905" s="64"/>
    </row>
    <row r="906" ht="40.5" customHeight="1">
      <c r="A906" s="64"/>
    </row>
    <row r="907" ht="40.5" customHeight="1">
      <c r="A907" s="64"/>
    </row>
    <row r="908" ht="40.5" customHeight="1">
      <c r="A908" s="64"/>
    </row>
    <row r="909" ht="40.5" customHeight="1">
      <c r="A909" s="64"/>
    </row>
    <row r="910" ht="40.5" customHeight="1">
      <c r="A910" s="64"/>
    </row>
    <row r="911" ht="40.5" customHeight="1">
      <c r="A911" s="64"/>
    </row>
    <row r="912" ht="40.5" customHeight="1">
      <c r="A912" s="64"/>
    </row>
    <row r="913" ht="40.5" customHeight="1">
      <c r="A913" s="64"/>
    </row>
    <row r="914" ht="40.5" customHeight="1">
      <c r="A914" s="64"/>
    </row>
    <row r="915" ht="40.5" customHeight="1">
      <c r="A915" s="64"/>
    </row>
    <row r="916" ht="40.5" customHeight="1">
      <c r="A916" s="64"/>
    </row>
    <row r="917" ht="40.5" customHeight="1">
      <c r="A917" s="64"/>
    </row>
    <row r="918" ht="40.5" customHeight="1">
      <c r="A918" s="64"/>
    </row>
    <row r="919" ht="40.5" customHeight="1">
      <c r="A919" s="64"/>
    </row>
    <row r="920" ht="40.5" customHeight="1">
      <c r="A920" s="64"/>
    </row>
    <row r="921" ht="40.5" customHeight="1">
      <c r="A921" s="64"/>
    </row>
    <row r="922" ht="40.5" customHeight="1">
      <c r="A922" s="64"/>
    </row>
    <row r="923" ht="40.5" customHeight="1">
      <c r="A923" s="64"/>
    </row>
    <row r="924" ht="40.5" customHeight="1">
      <c r="A924" s="64"/>
    </row>
    <row r="925" ht="40.5" customHeight="1">
      <c r="A925" s="64"/>
    </row>
    <row r="926" ht="40.5" customHeight="1">
      <c r="A926" s="64"/>
    </row>
    <row r="927" ht="40.5" customHeight="1">
      <c r="A927" s="64"/>
    </row>
    <row r="928" ht="40.5" customHeight="1">
      <c r="A928" s="64"/>
    </row>
    <row r="929" ht="40.5" customHeight="1">
      <c r="A929" s="64"/>
    </row>
    <row r="930" ht="40.5" customHeight="1">
      <c r="A930" s="64"/>
    </row>
    <row r="931" ht="40.5" customHeight="1">
      <c r="A931" s="64"/>
    </row>
    <row r="932" ht="40.5" customHeight="1">
      <c r="A932" s="64"/>
    </row>
    <row r="933" ht="40.5" customHeight="1">
      <c r="A933" s="64"/>
    </row>
    <row r="934" ht="40.5" customHeight="1">
      <c r="A934" s="64"/>
    </row>
    <row r="935" ht="40.5" customHeight="1">
      <c r="A935" s="64"/>
    </row>
    <row r="936" ht="40.5" customHeight="1">
      <c r="A936" s="64"/>
    </row>
    <row r="937" ht="40.5" customHeight="1">
      <c r="A937" s="64"/>
    </row>
    <row r="938" ht="40.5" customHeight="1">
      <c r="A938" s="64"/>
    </row>
    <row r="939" ht="40.5" customHeight="1">
      <c r="A939" s="64"/>
    </row>
    <row r="940" ht="40.5" customHeight="1">
      <c r="A940" s="64"/>
    </row>
    <row r="941" ht="40.5" customHeight="1">
      <c r="A941" s="64"/>
    </row>
    <row r="942" ht="40.5" customHeight="1">
      <c r="A942" s="64"/>
    </row>
    <row r="943" ht="40.5" customHeight="1">
      <c r="A943" s="64"/>
    </row>
    <row r="944" ht="40.5" customHeight="1">
      <c r="A944" s="64"/>
    </row>
    <row r="945" ht="40.5" customHeight="1">
      <c r="A945" s="64"/>
    </row>
    <row r="946" ht="40.5" customHeight="1">
      <c r="A946" s="64"/>
    </row>
    <row r="947" ht="40.5" customHeight="1">
      <c r="A947" s="64"/>
    </row>
    <row r="948" ht="40.5" customHeight="1">
      <c r="A948" s="64"/>
    </row>
    <row r="949" ht="40.5" customHeight="1">
      <c r="A949" s="64"/>
    </row>
    <row r="950" ht="40.5" customHeight="1">
      <c r="A950" s="64"/>
    </row>
    <row r="951" ht="40.5" customHeight="1">
      <c r="A951" s="64"/>
    </row>
    <row r="952" ht="40.5" customHeight="1">
      <c r="A952" s="64"/>
    </row>
    <row r="953" ht="40.5" customHeight="1">
      <c r="A953" s="64"/>
    </row>
    <row r="954" ht="40.5" customHeight="1">
      <c r="A954" s="64"/>
    </row>
    <row r="955" ht="40.5" customHeight="1">
      <c r="A955" s="64"/>
    </row>
    <row r="956" ht="40.5" customHeight="1">
      <c r="A956" s="64"/>
    </row>
    <row r="957" ht="40.5" customHeight="1">
      <c r="A957" s="64"/>
    </row>
    <row r="958" ht="40.5" customHeight="1">
      <c r="A958" s="64"/>
    </row>
    <row r="959" ht="40.5" customHeight="1">
      <c r="A959" s="64"/>
    </row>
    <row r="960" ht="40.5" customHeight="1">
      <c r="A960" s="64"/>
    </row>
    <row r="961" ht="40.5" customHeight="1">
      <c r="A961" s="64"/>
    </row>
    <row r="962" ht="40.5" customHeight="1">
      <c r="A962" s="64"/>
    </row>
    <row r="963" ht="40.5" customHeight="1">
      <c r="A963" s="64"/>
    </row>
    <row r="964" ht="40.5" customHeight="1">
      <c r="A964" s="64"/>
    </row>
    <row r="965" ht="40.5" customHeight="1">
      <c r="A965" s="64"/>
    </row>
    <row r="966" ht="40.5" customHeight="1">
      <c r="A966" s="64"/>
    </row>
    <row r="967" ht="40.5" customHeight="1">
      <c r="A967" s="64"/>
    </row>
    <row r="968" ht="40.5" customHeight="1">
      <c r="A968" s="64"/>
    </row>
    <row r="969" ht="40.5" customHeight="1">
      <c r="A969" s="64"/>
    </row>
    <row r="970" ht="40.5" customHeight="1">
      <c r="A970" s="64"/>
    </row>
    <row r="971" ht="40.5" customHeight="1">
      <c r="A971" s="64"/>
    </row>
    <row r="972" ht="40.5" customHeight="1">
      <c r="A972" s="64"/>
    </row>
    <row r="973" ht="40.5" customHeight="1">
      <c r="A973" s="64"/>
    </row>
    <row r="974" ht="40.5" customHeight="1">
      <c r="A974" s="64"/>
    </row>
    <row r="975" ht="40.5" customHeight="1">
      <c r="A975" s="64"/>
    </row>
    <row r="976" ht="40.5" customHeight="1">
      <c r="A976" s="64"/>
    </row>
    <row r="977" ht="40.5" customHeight="1">
      <c r="A977" s="64"/>
    </row>
    <row r="978" ht="40.5" customHeight="1">
      <c r="A978" s="64"/>
    </row>
    <row r="979" ht="40.5" customHeight="1">
      <c r="A979" s="64"/>
    </row>
    <row r="980" ht="40.5" customHeight="1">
      <c r="A980" s="64"/>
    </row>
    <row r="981" ht="40.5" customHeight="1">
      <c r="A981" s="64"/>
    </row>
    <row r="982" ht="40.5" customHeight="1">
      <c r="A982" s="64"/>
    </row>
    <row r="983" ht="40.5" customHeight="1">
      <c r="A983" s="64"/>
    </row>
    <row r="984" ht="40.5" customHeight="1">
      <c r="A984" s="64"/>
    </row>
    <row r="985" ht="40.5" customHeight="1">
      <c r="A985" s="64"/>
    </row>
    <row r="986" ht="40.5" customHeight="1">
      <c r="A986" s="64"/>
    </row>
    <row r="987" ht="40.5" customHeight="1">
      <c r="A987" s="64"/>
    </row>
    <row r="988" ht="40.5" customHeight="1">
      <c r="A988" s="64"/>
    </row>
    <row r="989" ht="40.5" customHeight="1">
      <c r="A989" s="64"/>
    </row>
    <row r="990" ht="40.5" customHeight="1">
      <c r="A990" s="64"/>
    </row>
    <row r="991" ht="40.5" customHeight="1">
      <c r="A991" s="64"/>
    </row>
    <row r="992" ht="40.5" customHeight="1">
      <c r="A992" s="64"/>
    </row>
    <row r="993" ht="40.5" customHeight="1">
      <c r="A993" s="64"/>
    </row>
    <row r="994" ht="40.5" customHeight="1">
      <c r="A994" s="64"/>
    </row>
    <row r="995" ht="40.5" customHeight="1">
      <c r="A995" s="64"/>
    </row>
    <row r="996" ht="40.5" customHeight="1">
      <c r="A996" s="64"/>
    </row>
    <row r="997" ht="40.5" customHeight="1">
      <c r="A997" s="64"/>
    </row>
    <row r="998" ht="40.5" customHeight="1">
      <c r="A998" s="64"/>
    </row>
    <row r="999" ht="40.5" customHeight="1">
      <c r="A999" s="64"/>
    </row>
    <row r="1000" ht="40.5" customHeight="1">
      <c r="A1000" s="64"/>
    </row>
    <row r="1001" ht="40.5" customHeight="1">
      <c r="A1001" s="64"/>
    </row>
  </sheetData>
  <dataValidations>
    <dataValidation type="custom" allowBlank="1" showDropDown="1" sqref="F3:F63 H3:H63">
      <formula1>AND(ISNUMBER(F3),(NOT(OR(NOT(ISERROR(DATEVALUE(F3))), AND(ISNUMBER(F3), LEFT(CELL("format", F3))="D")))))</formula1>
    </dataValidation>
  </dataValidations>
  <hyperlinks>
    <hyperlink r:id="rId4" location="supplementary-material" ref="X4"/>
    <hyperlink r:id="rId5" ref="N5"/>
    <hyperlink r:id="rId6" ref="X5"/>
    <hyperlink r:id="rId7" ref="X6"/>
    <hyperlink r:id="rId8" ref="X7"/>
    <hyperlink r:id="rId9" ref="X8"/>
    <hyperlink r:id="rId10" ref="X9"/>
    <hyperlink r:id="rId11" ref="X10"/>
    <hyperlink r:id="rId12" ref="X11"/>
    <hyperlink r:id="rId13" ref="N12"/>
    <hyperlink r:id="rId14" ref="X12"/>
    <hyperlink r:id="rId15" ref="X13"/>
    <hyperlink r:id="rId16" location="ref-CR54" ref="Y13"/>
    <hyperlink r:id="rId17" ref="W15"/>
    <hyperlink r:id="rId18" ref="X15"/>
    <hyperlink r:id="rId19" ref="W16"/>
    <hyperlink r:id="rId20" ref="X16"/>
    <hyperlink r:id="rId21" ref="W17"/>
    <hyperlink r:id="rId22" ref="X17"/>
    <hyperlink r:id="rId23" ref="X18"/>
    <hyperlink r:id="rId24" ref="X19"/>
    <hyperlink r:id="rId25" ref="X20"/>
    <hyperlink r:id="rId26" ref="Y20"/>
    <hyperlink r:id="rId27" ref="X22"/>
    <hyperlink r:id="rId28" ref="X23"/>
    <hyperlink r:id="rId29" ref="X25"/>
    <hyperlink r:id="rId30" ref="X26"/>
    <hyperlink r:id="rId31" ref="X27"/>
    <hyperlink r:id="rId32" ref="X28"/>
    <hyperlink r:id="rId33" ref="X29"/>
    <hyperlink r:id="rId34" ref="N30"/>
    <hyperlink r:id="rId35" ref="W30"/>
    <hyperlink r:id="rId36" ref="X30"/>
    <hyperlink r:id="rId37" ref="N31"/>
    <hyperlink r:id="rId38" ref="X31"/>
    <hyperlink r:id="rId39" ref="X32"/>
    <hyperlink r:id="rId40" ref="X33"/>
    <hyperlink r:id="rId41" ref="X34"/>
    <hyperlink r:id="rId42" location="supplementary-material" ref="X35"/>
    <hyperlink r:id="rId43" ref="X37"/>
    <hyperlink r:id="rId44" ref="W38"/>
    <hyperlink r:id="rId45" ref="X38"/>
    <hyperlink r:id="rId46" ref="X39"/>
    <hyperlink r:id="rId47" ref="X40"/>
    <hyperlink r:id="rId48" ref="W41"/>
    <hyperlink r:id="rId49" ref="X41"/>
    <hyperlink r:id="rId50" ref="X42"/>
    <hyperlink r:id="rId51" ref="X43"/>
    <hyperlink r:id="rId52" ref="X45"/>
    <hyperlink r:id="rId53" ref="X46"/>
    <hyperlink r:id="rId54" ref="X47"/>
    <hyperlink r:id="rId55" ref="X48"/>
    <hyperlink r:id="rId56" ref="X49"/>
    <hyperlink r:id="rId57" ref="X50"/>
    <hyperlink r:id="rId58" ref="X51"/>
    <hyperlink r:id="rId59" ref="X52"/>
    <hyperlink r:id="rId60" ref="X53"/>
    <hyperlink r:id="rId61" ref="X54"/>
    <hyperlink r:id="rId62" ref="X55"/>
    <hyperlink r:id="rId63" ref="X56"/>
    <hyperlink r:id="rId64" ref="W58"/>
    <hyperlink r:id="rId65" ref="X58"/>
    <hyperlink r:id="rId66" ref="X59"/>
    <hyperlink r:id="rId67" ref="X62"/>
  </hyperlinks>
  <drawing r:id="rId68"/>
  <legacyDrawing r:id="rId69"/>
  <tableParts count="1">
    <tablePart r:id="rId7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4" t="s">
        <v>923</v>
      </c>
    </row>
    <row r="3">
      <c r="A3" s="74" t="s">
        <v>924</v>
      </c>
    </row>
    <row r="4">
      <c r="A4" s="75" t="s">
        <v>925</v>
      </c>
    </row>
    <row r="6">
      <c r="A6" s="76" t="s">
        <v>926</v>
      </c>
    </row>
    <row r="7">
      <c r="A7" s="76" t="s">
        <v>927</v>
      </c>
    </row>
    <row r="8">
      <c r="A8" s="76" t="s">
        <v>928</v>
      </c>
    </row>
    <row r="9">
      <c r="A9" s="76" t="s">
        <v>929</v>
      </c>
    </row>
    <row r="12">
      <c r="A12" s="76" t="s">
        <v>930</v>
      </c>
    </row>
    <row r="13">
      <c r="A13" s="76" t="s">
        <v>931</v>
      </c>
    </row>
    <row r="15">
      <c r="A15" s="77" t="s">
        <v>932</v>
      </c>
      <c r="B15" s="77" t="s">
        <v>933</v>
      </c>
      <c r="C15" s="78"/>
      <c r="D15" s="78"/>
    </row>
    <row r="20">
      <c r="A20" s="76" t="s">
        <v>934</v>
      </c>
    </row>
    <row r="21" ht="40.5" customHeight="1">
      <c r="A21" s="79">
        <v>53.0</v>
      </c>
      <c r="B21" s="80" t="s">
        <v>935</v>
      </c>
      <c r="C21" s="80" t="s">
        <v>936</v>
      </c>
      <c r="D21" s="80" t="s">
        <v>691</v>
      </c>
      <c r="E21" s="80" t="s">
        <v>68</v>
      </c>
      <c r="F21" s="81">
        <v>1034.0</v>
      </c>
      <c r="G21" s="82" t="s">
        <v>937</v>
      </c>
      <c r="H21" s="81">
        <v>720.0</v>
      </c>
      <c r="I21" s="80" t="s">
        <v>36</v>
      </c>
      <c r="J21" s="80"/>
      <c r="K21" s="80" t="s">
        <v>58</v>
      </c>
      <c r="L21" s="80"/>
      <c r="M21" s="80"/>
      <c r="N21" s="80" t="s">
        <v>42</v>
      </c>
      <c r="O21" s="83"/>
      <c r="P21" s="83"/>
      <c r="Q21" s="83"/>
      <c r="R21" s="83"/>
      <c r="S21" s="83"/>
      <c r="T21" s="83"/>
      <c r="U21" s="83"/>
      <c r="V21" s="83"/>
      <c r="W21" s="83"/>
    </row>
  </sheetData>
  <hyperlinks>
    <hyperlink r:id="rId1" ref="A1"/>
    <hyperlink r:id="rId2" ref="A3"/>
    <hyperlink r:id="rId3" ref="A4"/>
  </hyperlinks>
  <drawing r:id="rId4"/>
  <tableParts count="1">
    <tablePart r:id="rId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938</v>
      </c>
    </row>
    <row r="2">
      <c r="A2" s="76" t="s">
        <v>939</v>
      </c>
    </row>
  </sheetData>
  <drawing r:id="rId1"/>
</worksheet>
</file>