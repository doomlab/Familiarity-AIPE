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45" windowWidth="19815" windowHeight="7665"/>
  </bookViews>
  <sheets>
    <sheet name="About" sheetId="22" r:id="rId1"/>
    <sheet name="Stimuli" sheetId="9" r:id="rId2"/>
  </sheets>
  <definedNames>
    <definedName name="_xlnm.Print_Area" localSheetId="1">Stimuli!$A$1:$Y$81</definedName>
    <definedName name="_xlnm.Print_Titles" localSheetId="0">About!$1:$5</definedName>
    <definedName name="_xlnm.Print_Titles" localSheetId="1">Stimuli!$A:$C,Stimuli!$1:$1</definedName>
  </definedNames>
  <calcPr calcId="125725"/>
</workbook>
</file>

<file path=xl/calcChain.xml><?xml version="1.0" encoding="utf-8"?>
<calcChain xmlns="http://schemas.openxmlformats.org/spreadsheetml/2006/main">
  <c r="U81" i="9"/>
  <c r="T81"/>
  <c r="U80"/>
  <c r="T80"/>
  <c r="U79"/>
  <c r="T79"/>
  <c r="U78"/>
  <c r="T78"/>
  <c r="U77"/>
  <c r="T77"/>
  <c r="U76"/>
  <c r="T76"/>
  <c r="U75"/>
  <c r="T75"/>
  <c r="U74"/>
  <c r="T74"/>
  <c r="U73"/>
  <c r="T73"/>
  <c r="U72"/>
  <c r="T72"/>
  <c r="U71"/>
  <c r="T71"/>
  <c r="U70"/>
  <c r="T70"/>
  <c r="U69"/>
  <c r="T69"/>
  <c r="U68"/>
  <c r="T68"/>
  <c r="U67"/>
  <c r="T67"/>
  <c r="U66"/>
  <c r="T66"/>
  <c r="U65"/>
  <c r="T65"/>
  <c r="U64"/>
  <c r="T64"/>
  <c r="U63"/>
  <c r="T63"/>
  <c r="U62"/>
  <c r="T62"/>
  <c r="U61"/>
  <c r="T61"/>
  <c r="U60"/>
  <c r="T60"/>
  <c r="U59"/>
  <c r="T59"/>
  <c r="U58"/>
  <c r="T58"/>
  <c r="U57"/>
  <c r="T57"/>
  <c r="U56"/>
  <c r="T56"/>
  <c r="U55"/>
  <c r="T55"/>
  <c r="U54"/>
  <c r="T54"/>
  <c r="U53"/>
  <c r="T53"/>
  <c r="U52"/>
  <c r="T52"/>
  <c r="U51"/>
  <c r="T51"/>
  <c r="U50"/>
  <c r="T50"/>
  <c r="U49"/>
  <c r="T49"/>
  <c r="U48"/>
  <c r="T48"/>
  <c r="U47"/>
  <c r="T47"/>
  <c r="U46"/>
  <c r="T46"/>
  <c r="U45"/>
  <c r="T45"/>
  <c r="U44"/>
  <c r="T44"/>
  <c r="U43"/>
  <c r="T43"/>
  <c r="U42"/>
  <c r="T42"/>
  <c r="U41"/>
  <c r="T41"/>
  <c r="U40"/>
  <c r="T40"/>
  <c r="U39"/>
  <c r="T39"/>
  <c r="U38"/>
  <c r="T38"/>
  <c r="U37"/>
  <c r="T37"/>
  <c r="U36"/>
  <c r="T36"/>
  <c r="U35"/>
  <c r="T35"/>
  <c r="U34"/>
  <c r="T34"/>
  <c r="U33"/>
  <c r="T33"/>
  <c r="U32"/>
  <c r="T32"/>
  <c r="U31"/>
  <c r="T31"/>
  <c r="U30"/>
  <c r="T30"/>
  <c r="U29"/>
  <c r="T29"/>
  <c r="U28"/>
  <c r="T28"/>
  <c r="U27"/>
  <c r="T27"/>
  <c r="U26"/>
  <c r="T26"/>
  <c r="U25"/>
  <c r="T25"/>
  <c r="U24"/>
  <c r="T24"/>
  <c r="U23"/>
  <c r="T23"/>
  <c r="U22"/>
  <c r="T22"/>
  <c r="U21"/>
  <c r="T21"/>
  <c r="U20"/>
  <c r="T20"/>
  <c r="U19"/>
  <c r="T19"/>
  <c r="U18"/>
  <c r="T18"/>
  <c r="U17"/>
  <c r="T17"/>
  <c r="U16"/>
  <c r="T16"/>
  <c r="U15"/>
  <c r="T15"/>
  <c r="U14"/>
  <c r="T14"/>
  <c r="U13"/>
  <c r="T13"/>
  <c r="U12"/>
  <c r="T12"/>
  <c r="U11"/>
  <c r="T11"/>
  <c r="U10"/>
  <c r="T10"/>
  <c r="U9"/>
  <c r="T9"/>
  <c r="U8"/>
  <c r="T8"/>
  <c r="U7"/>
  <c r="T7"/>
  <c r="U6"/>
  <c r="T6"/>
  <c r="U5"/>
  <c r="T5"/>
  <c r="U4"/>
  <c r="T4"/>
  <c r="U3"/>
  <c r="T3"/>
  <c r="U2"/>
  <c r="T2"/>
</calcChain>
</file>

<file path=xl/sharedStrings.xml><?xml version="1.0" encoding="utf-8"?>
<sst xmlns="http://schemas.openxmlformats.org/spreadsheetml/2006/main" count="319" uniqueCount="300">
  <si>
    <t>nafaka</t>
  </si>
  <si>
    <t>milho</t>
  </si>
  <si>
    <t>roho</t>
  </si>
  <si>
    <t>alma</t>
  </si>
  <si>
    <t>handaki</t>
  </si>
  <si>
    <t>trincheira</t>
  </si>
  <si>
    <t>nabii</t>
  </si>
  <si>
    <t>profeta</t>
  </si>
  <si>
    <t>yatima</t>
  </si>
  <si>
    <t>kaa</t>
  </si>
  <si>
    <t>caranguejo</t>
  </si>
  <si>
    <t>adhama</t>
  </si>
  <si>
    <t>honra</t>
  </si>
  <si>
    <t>zeituni</t>
  </si>
  <si>
    <t>azeitona</t>
  </si>
  <si>
    <t>elimu</t>
  </si>
  <si>
    <t>talaka</t>
  </si>
  <si>
    <t>bustani</t>
  </si>
  <si>
    <t>jardim</t>
  </si>
  <si>
    <t>jani</t>
  </si>
  <si>
    <t>folha</t>
  </si>
  <si>
    <t>wakili</t>
  </si>
  <si>
    <t>agente</t>
  </si>
  <si>
    <t>ambo</t>
  </si>
  <si>
    <t>cola</t>
  </si>
  <si>
    <t>tabibu</t>
  </si>
  <si>
    <t>buu</t>
  </si>
  <si>
    <t>larva</t>
  </si>
  <si>
    <t>ruba</t>
  </si>
  <si>
    <t>sanguessuga</t>
  </si>
  <si>
    <t>mashua</t>
  </si>
  <si>
    <t>barco</t>
  </si>
  <si>
    <t>kaburi</t>
  </si>
  <si>
    <t>desturi</t>
  </si>
  <si>
    <t>costume</t>
  </si>
  <si>
    <t>jibini</t>
  </si>
  <si>
    <t>queijo</t>
  </si>
  <si>
    <t>yai</t>
  </si>
  <si>
    <t>ovo</t>
  </si>
  <si>
    <t>ndoo</t>
  </si>
  <si>
    <t>balde</t>
  </si>
  <si>
    <t>pipa</t>
  </si>
  <si>
    <t>barril</t>
  </si>
  <si>
    <t>kasuku</t>
  </si>
  <si>
    <t>papagaio</t>
  </si>
  <si>
    <t>nanga</t>
  </si>
  <si>
    <t>wasaa</t>
  </si>
  <si>
    <t>lazer</t>
  </si>
  <si>
    <t>yamini</t>
  </si>
  <si>
    <t>juramento</t>
  </si>
  <si>
    <t>ladha</t>
  </si>
  <si>
    <t>sabor</t>
  </si>
  <si>
    <t>usingizi</t>
  </si>
  <si>
    <t>sono</t>
  </si>
  <si>
    <t>utenzi</t>
  </si>
  <si>
    <t>poema</t>
  </si>
  <si>
    <t>bahasha</t>
  </si>
  <si>
    <t>envelope</t>
  </si>
  <si>
    <t>theluji</t>
  </si>
  <si>
    <t>neve</t>
  </si>
  <si>
    <t>adha</t>
  </si>
  <si>
    <t>problema</t>
  </si>
  <si>
    <t>gutu</t>
  </si>
  <si>
    <t>toco</t>
  </si>
  <si>
    <t>hamira</t>
  </si>
  <si>
    <t>levedura</t>
  </si>
  <si>
    <t>rushwa</t>
  </si>
  <si>
    <t>suborno</t>
  </si>
  <si>
    <t>lozi</t>
  </si>
  <si>
    <t>leso</t>
  </si>
  <si>
    <t>cachecol</t>
  </si>
  <si>
    <t>lulu</t>
  </si>
  <si>
    <t>pamba</t>
  </si>
  <si>
    <t>iktisadi</t>
  </si>
  <si>
    <t>economia</t>
  </si>
  <si>
    <t>mbwa</t>
  </si>
  <si>
    <t>cachorro</t>
  </si>
  <si>
    <t>malkia</t>
  </si>
  <si>
    <t>rainha</t>
  </si>
  <si>
    <t>inda</t>
  </si>
  <si>
    <t>hariri</t>
  </si>
  <si>
    <t>seda</t>
  </si>
  <si>
    <t>vumbi</t>
  </si>
  <si>
    <t>poeira</t>
  </si>
  <si>
    <t>chura</t>
  </si>
  <si>
    <t>sapo</t>
  </si>
  <si>
    <t>dafina</t>
  </si>
  <si>
    <t>tesouro</t>
  </si>
  <si>
    <t>pafu</t>
  </si>
  <si>
    <t>wingu</t>
  </si>
  <si>
    <t>nuvem</t>
  </si>
  <si>
    <t>godoro</t>
  </si>
  <si>
    <t>pazia</t>
  </si>
  <si>
    <t>cortina</t>
  </si>
  <si>
    <t>adui</t>
  </si>
  <si>
    <t>inimigo</t>
  </si>
  <si>
    <t>kamba</t>
  </si>
  <si>
    <t>corda</t>
  </si>
  <si>
    <t>fumbo</t>
  </si>
  <si>
    <t>maiti</t>
  </si>
  <si>
    <t>mshoni</t>
  </si>
  <si>
    <t>alfaiate</t>
  </si>
  <si>
    <t>embe</t>
  </si>
  <si>
    <t>manga</t>
  </si>
  <si>
    <t>chama</t>
  </si>
  <si>
    <t>sociedade</t>
  </si>
  <si>
    <t>tumbili</t>
  </si>
  <si>
    <t>macaco</t>
  </si>
  <si>
    <t>mfupa</t>
  </si>
  <si>
    <t>osso</t>
  </si>
  <si>
    <t>zulia</t>
  </si>
  <si>
    <t>tapete</t>
  </si>
  <si>
    <t>lango</t>
  </si>
  <si>
    <t>hadithi</t>
  </si>
  <si>
    <t>pombe</t>
  </si>
  <si>
    <t>cerveja</t>
  </si>
  <si>
    <t>sahani</t>
  </si>
  <si>
    <t>prato</t>
  </si>
  <si>
    <t>chakula</t>
  </si>
  <si>
    <t>comida</t>
  </si>
  <si>
    <t>ziwa</t>
  </si>
  <si>
    <t>lago</t>
  </si>
  <si>
    <t>gharika</t>
  </si>
  <si>
    <t>enchente</t>
  </si>
  <si>
    <t>farasi</t>
  </si>
  <si>
    <t>cavalo</t>
  </si>
  <si>
    <t>duara</t>
  </si>
  <si>
    <t>roda</t>
  </si>
  <si>
    <t>goti</t>
  </si>
  <si>
    <t>joelho</t>
  </si>
  <si>
    <t>jeraha</t>
  </si>
  <si>
    <t>ferida</t>
  </si>
  <si>
    <t>nyanya</t>
  </si>
  <si>
    <t>tomate</t>
  </si>
  <si>
    <t>fagio</t>
  </si>
  <si>
    <t>vassoura</t>
  </si>
  <si>
    <t>punda</t>
  </si>
  <si>
    <t>burro</t>
  </si>
  <si>
    <t>joko</t>
  </si>
  <si>
    <t>forno</t>
  </si>
  <si>
    <t>ankra</t>
  </si>
  <si>
    <t>fatura</t>
  </si>
  <si>
    <t>samadi</t>
  </si>
  <si>
    <t>estrume</t>
  </si>
  <si>
    <t>âncora</t>
  </si>
  <si>
    <t>órfão</t>
  </si>
  <si>
    <t>algodão</t>
  </si>
  <si>
    <t>amêndoa</t>
  </si>
  <si>
    <t>cadáver</t>
  </si>
  <si>
    <t>ciência</t>
  </si>
  <si>
    <t>colchão</t>
  </si>
  <si>
    <t>divórcio</t>
  </si>
  <si>
    <t>história</t>
  </si>
  <si>
    <t>médico</t>
  </si>
  <si>
    <t>malícia</t>
  </si>
  <si>
    <t>mistério</t>
  </si>
  <si>
    <t>pérola</t>
  </si>
  <si>
    <t>portão</t>
  </si>
  <si>
    <t>pulmão</t>
  </si>
  <si>
    <t>túmulo</t>
  </si>
  <si>
    <t>Swahili</t>
  </si>
  <si>
    <t>Portuguese</t>
  </si>
  <si>
    <t>English (Nelson &amp; Dunlosky, 1994)</t>
  </si>
  <si>
    <t>Wordlikeness mean</t>
  </si>
  <si>
    <t>Wordlikeness median</t>
  </si>
  <si>
    <t>Recall accuracy Trial 1</t>
  </si>
  <si>
    <t>Recall accuracy Trial 2</t>
  </si>
  <si>
    <t>Recall accuracy Trial 3</t>
  </si>
  <si>
    <t>agent</t>
  </si>
  <si>
    <t>tailor</t>
  </si>
  <si>
    <t>cotton</t>
  </si>
  <si>
    <t>soul</t>
  </si>
  <si>
    <t>almond</t>
  </si>
  <si>
    <t>anchor</t>
  </si>
  <si>
    <t>olives</t>
  </si>
  <si>
    <t>bucket</t>
  </si>
  <si>
    <t>boat</t>
  </si>
  <si>
    <t>barrel</t>
  </si>
  <si>
    <t>donkey</t>
  </si>
  <si>
    <t>scarf</t>
  </si>
  <si>
    <t>dog</t>
  </si>
  <si>
    <t>corpse</t>
  </si>
  <si>
    <t>crab</t>
  </si>
  <si>
    <t>horse</t>
  </si>
  <si>
    <t>beer</t>
  </si>
  <si>
    <t>science</t>
  </si>
  <si>
    <t>glue</t>
  </si>
  <si>
    <t>mattress</t>
  </si>
  <si>
    <t>food</t>
  </si>
  <si>
    <t>rope</t>
  </si>
  <si>
    <t>curtain</t>
  </si>
  <si>
    <t>custom</t>
  </si>
  <si>
    <t>divorce</t>
  </si>
  <si>
    <t>economy</t>
  </si>
  <si>
    <t>flood</t>
  </si>
  <si>
    <t>manure</t>
  </si>
  <si>
    <t>invoice</t>
  </si>
  <si>
    <t>wound</t>
  </si>
  <si>
    <t>leaf</t>
  </si>
  <si>
    <t>kiln</t>
  </si>
  <si>
    <t>story</t>
  </si>
  <si>
    <t>honor</t>
  </si>
  <si>
    <t>enemy</t>
  </si>
  <si>
    <t>garden</t>
  </si>
  <si>
    <t>knee</t>
  </si>
  <si>
    <t>oath</t>
  </si>
  <si>
    <t>lake</t>
  </si>
  <si>
    <t>maggot</t>
  </si>
  <si>
    <t>leisure</t>
  </si>
  <si>
    <t>yeast</t>
  </si>
  <si>
    <t>monkey</t>
  </si>
  <si>
    <t>spite</t>
  </si>
  <si>
    <t>mango</t>
  </si>
  <si>
    <t>doctor</t>
  </si>
  <si>
    <t>corn</t>
  </si>
  <si>
    <t>mystery</t>
  </si>
  <si>
    <t>snow</t>
  </si>
  <si>
    <t>cloud</t>
  </si>
  <si>
    <t>orphan</t>
  </si>
  <si>
    <t>bone</t>
  </si>
  <si>
    <t>egg</t>
  </si>
  <si>
    <t>parrot</t>
  </si>
  <si>
    <t>pearl</t>
  </si>
  <si>
    <t>dust</t>
  </si>
  <si>
    <t>poem</t>
  </si>
  <si>
    <t>gate</t>
  </si>
  <si>
    <t>plate</t>
  </si>
  <si>
    <t>trouble</t>
  </si>
  <si>
    <t>prophet</t>
  </si>
  <si>
    <t>lung</t>
  </si>
  <si>
    <t>cheese</t>
  </si>
  <si>
    <t>queen</t>
  </si>
  <si>
    <t>wheel</t>
  </si>
  <si>
    <t>flavor</t>
  </si>
  <si>
    <t>leech</t>
  </si>
  <si>
    <t>frog</t>
  </si>
  <si>
    <t>silk</t>
  </si>
  <si>
    <t>society</t>
  </si>
  <si>
    <t>sleep</t>
  </si>
  <si>
    <t>bribe</t>
  </si>
  <si>
    <t>carpet</t>
  </si>
  <si>
    <t>treasure</t>
  </si>
  <si>
    <t>stump</t>
  </si>
  <si>
    <t>tomato</t>
  </si>
  <si>
    <t>trench</t>
  </si>
  <si>
    <t>grave</t>
  </si>
  <si>
    <t>broom</t>
  </si>
  <si>
    <t>Familiarity mean</t>
  </si>
  <si>
    <t>Familiarity sd</t>
  </si>
  <si>
    <t>Concreteness mean</t>
  </si>
  <si>
    <t>Concreteness sd</t>
  </si>
  <si>
    <t>Valence mean</t>
  </si>
  <si>
    <t>Valence sd</t>
  </si>
  <si>
    <t>Arousal mean</t>
  </si>
  <si>
    <t>Arousal sd</t>
  </si>
  <si>
    <t>Wordlikeness sd</t>
  </si>
  <si>
    <t xml:space="preserve"> </t>
  </si>
  <si>
    <t>These norms come from</t>
  </si>
  <si>
    <t>Variable</t>
  </si>
  <si>
    <t>Description</t>
  </si>
  <si>
    <t>Recall accuracy (average Trials 1, 2, and 3)</t>
  </si>
  <si>
    <t>Familiarity</t>
  </si>
  <si>
    <t>Concreteness</t>
  </si>
  <si>
    <t>Valence</t>
  </si>
  <si>
    <t>Arousal</t>
  </si>
  <si>
    <t>Wordlikeness</t>
  </si>
  <si>
    <t>Statistics</t>
  </si>
  <si>
    <r>
      <t xml:space="preserve">Mean, </t>
    </r>
    <r>
      <rPr>
        <i/>
        <sz val="12"/>
        <color theme="1"/>
        <rFont val="Times New Roman"/>
        <family val="1"/>
      </rPr>
      <t>SD</t>
    </r>
  </si>
  <si>
    <t>Proportion</t>
  </si>
  <si>
    <r>
      <t xml:space="preserve">Mean, </t>
    </r>
    <r>
      <rPr>
        <i/>
        <sz val="12"/>
        <color theme="1"/>
        <rFont val="Times New Roman"/>
        <family val="1"/>
      </rPr>
      <t>SD</t>
    </r>
    <r>
      <rPr>
        <sz val="12"/>
        <color theme="1"/>
        <rFont val="Times New Roman"/>
        <family val="1"/>
      </rPr>
      <t>, median</t>
    </r>
  </si>
  <si>
    <t xml:space="preserve">Frequency of occurrence </t>
  </si>
  <si>
    <t>Frequency of occurrence</t>
  </si>
  <si>
    <t>Log frequency of occurrence</t>
  </si>
  <si>
    <t>Swahili length</t>
  </si>
  <si>
    <t>Portuguese length</t>
  </si>
  <si>
    <t>Absolute number</t>
  </si>
  <si>
    <t>Select cases</t>
  </si>
  <si>
    <t>-</t>
  </si>
  <si>
    <r>
      <t>How familiar participants considered each Brazilian Portuguese word. Familiarity ratings ranged from 1 (</t>
    </r>
    <r>
      <rPr>
        <i/>
        <sz val="12"/>
        <color theme="1"/>
        <rFont val="Times New Roman"/>
        <family val="1"/>
      </rPr>
      <t>I never saw/heard that word</t>
    </r>
    <r>
      <rPr>
        <sz val="12"/>
        <color theme="1"/>
        <rFont val="Times New Roman"/>
        <family val="1"/>
      </rPr>
      <t>) to 7 (</t>
    </r>
    <r>
      <rPr>
        <i/>
        <sz val="12"/>
        <color theme="1"/>
        <rFont val="Times New Roman"/>
        <family val="1"/>
      </rPr>
      <t>I see/hear that word almost daily</t>
    </r>
    <r>
      <rPr>
        <sz val="12"/>
        <color theme="1"/>
        <rFont val="Times New Roman"/>
        <family val="1"/>
      </rPr>
      <t>).</t>
    </r>
  </si>
  <si>
    <r>
      <t>How concrete participants considered each Brazilian Portuguese word. Concreteness ratings ranged from 1 (</t>
    </r>
    <r>
      <rPr>
        <i/>
        <sz val="12"/>
        <color theme="1"/>
        <rFont val="Times New Roman"/>
        <family val="1"/>
      </rPr>
      <t>highly abstract</t>
    </r>
    <r>
      <rPr>
        <sz val="12"/>
        <color theme="1"/>
        <rFont val="Times New Roman"/>
        <family val="1"/>
      </rPr>
      <t>) to 7 (</t>
    </r>
    <r>
      <rPr>
        <i/>
        <sz val="12"/>
        <color theme="1"/>
        <rFont val="Times New Roman"/>
        <family val="1"/>
      </rPr>
      <t>highly concrete</t>
    </r>
    <r>
      <rPr>
        <sz val="12"/>
        <color theme="1"/>
        <rFont val="Times New Roman"/>
        <family val="1"/>
      </rPr>
      <t>).</t>
    </r>
  </si>
  <si>
    <r>
      <t>How pleasant participants considered each Brazilian Portuguese word. Valence ratings ranged from 1 (</t>
    </r>
    <r>
      <rPr>
        <i/>
        <sz val="12"/>
        <color theme="1"/>
        <rFont val="Times New Roman"/>
        <family val="1"/>
      </rPr>
      <t>negative emotional valence</t>
    </r>
    <r>
      <rPr>
        <sz val="12"/>
        <color theme="1"/>
        <rFont val="Times New Roman"/>
        <family val="1"/>
      </rPr>
      <t>) to 9 (</t>
    </r>
    <r>
      <rPr>
        <i/>
        <sz val="12"/>
        <color theme="1"/>
        <rFont val="Times New Roman"/>
        <family val="1"/>
      </rPr>
      <t>positive emotional valence</t>
    </r>
    <r>
      <rPr>
        <sz val="12"/>
        <color theme="1"/>
        <rFont val="Times New Roman"/>
        <family val="1"/>
      </rPr>
      <t>).</t>
    </r>
  </si>
  <si>
    <r>
      <t>How exciting participants considered each Brazilian Portuguese word. Arousal ratings ranged from 1 (</t>
    </r>
    <r>
      <rPr>
        <i/>
        <sz val="12"/>
        <color theme="1"/>
        <rFont val="Times New Roman"/>
        <family val="1"/>
      </rPr>
      <t>relaxing</t>
    </r>
    <r>
      <rPr>
        <sz val="12"/>
        <color theme="1"/>
        <rFont val="Times New Roman"/>
        <family val="1"/>
      </rPr>
      <t>) to 9 (</t>
    </r>
    <r>
      <rPr>
        <i/>
        <sz val="12"/>
        <color theme="1"/>
        <rFont val="Times New Roman"/>
        <family val="1"/>
      </rPr>
      <t>exciting</t>
    </r>
    <r>
      <rPr>
        <sz val="12"/>
        <color theme="1"/>
        <rFont val="Times New Roman"/>
        <family val="1"/>
      </rPr>
      <t>).</t>
    </r>
  </si>
  <si>
    <r>
      <t>How similar a Swahili word in comparison to any Brazilian Portuguese word. Wordlikeness ratings ranged from 1 (</t>
    </r>
    <r>
      <rPr>
        <i/>
        <sz val="12"/>
        <color theme="1"/>
        <rFont val="Times New Roman"/>
        <family val="1"/>
      </rPr>
      <t>Not like a word at all</t>
    </r>
    <r>
      <rPr>
        <sz val="12"/>
        <color theme="1"/>
        <rFont val="Times New Roman"/>
        <family val="1"/>
      </rPr>
      <t>) to 5 (</t>
    </r>
    <r>
      <rPr>
        <i/>
        <sz val="12"/>
        <color theme="1"/>
        <rFont val="Times New Roman"/>
        <family val="1"/>
      </rPr>
      <t>Very like a word</t>
    </r>
    <r>
      <rPr>
        <sz val="12"/>
        <color theme="1"/>
        <rFont val="Times New Roman"/>
        <family val="1"/>
      </rPr>
      <t>).</t>
    </r>
  </si>
  <si>
    <t>Average proportion of participants who correctly recalled a given Brazilian Portuguese word across test block trials 1, 2, and 3.</t>
  </si>
  <si>
    <t>Natural logarithm of the frequency of occurrence of Brazilian Portuguese words per million words (from NILC, 2005).</t>
  </si>
  <si>
    <t>Number of letters for each Swahili word.</t>
  </si>
  <si>
    <t>Proportion of participants who correctly recalled a given Brazilian Portuguese word in the test block trial 1.</t>
  </si>
  <si>
    <t>Proportion of participants who correctly recalled a given Brazilian Portuguese word in the test block trial 2.</t>
  </si>
  <si>
    <t>Proportion of participants who correctly recalled a given Brazilian Portuguese word in the test block trial 3.</t>
  </si>
  <si>
    <t>Number of letters for each Brazilian Portuguese word.</t>
  </si>
  <si>
    <t>Proportion of participants who correctly recalled a given Brazilian Portuguese word in the 7-day retention interval (from Lage, 2019).</t>
  </si>
  <si>
    <t>Proportion of participants who correctly recalled a given Brazilian Portuguese word in the 2-day retention interval (from Lima et al., 2020, Exp. 1).</t>
  </si>
  <si>
    <t>Proportion of participants who correctly recalled a given Brazilian Portuguese word in the 2-day retention interval (from Lima et al., 2020, Exp. 2).</t>
  </si>
  <si>
    <t>Dummy variable. 1 = word pairs used by Lage (2019) and Lima et al. (2020); 0 = word pairs not used by Lage (2019) and Lima et al. (2020).</t>
  </si>
  <si>
    <t>Lage (2019)</t>
  </si>
  <si>
    <t>Lima et al. (2020), Exp. 1</t>
  </si>
  <si>
    <t>Lima et al. (2020), Exp. 2</t>
  </si>
  <si>
    <t>Lima et al. (2020, Exp. 1)</t>
  </si>
  <si>
    <t>Lima et al. (2020, Exp. 2)</t>
  </si>
  <si>
    <r>
      <t xml:space="preserve">Lima, M. F. R., &amp; Buratto, L. G. (2021). Norms for familiarity, concreteness, valence, arousal, wordlikeness, and recall accuracy for Swahili–Portuguese word pairs. </t>
    </r>
    <r>
      <rPr>
        <i/>
        <sz val="12"/>
        <color theme="1"/>
        <rFont val="Times New Roman"/>
        <family val="1"/>
      </rPr>
      <t>SAGE Open</t>
    </r>
    <r>
      <rPr>
        <sz val="12"/>
        <color theme="1"/>
        <rFont val="Times New Roman"/>
        <family val="1"/>
      </rPr>
      <t>, 1–13. https://doi.org/10.1177/2158244020988524</t>
    </r>
  </si>
</sst>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2" fillId="0" borderId="0"/>
  </cellStyleXfs>
  <cellXfs count="26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2" fontId="1" fillId="0" borderId="7" xfId="0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/>
    </xf>
    <xf numFmtId="2" fontId="0" fillId="0" borderId="7" xfId="0" applyNumberForma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1" fillId="0" borderId="7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</cellXfs>
  <cellStyles count="4">
    <cellStyle name="Moeda 2" xfId="1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21"/>
  <sheetViews>
    <sheetView tabSelected="1" zoomScale="115" zoomScaleNormal="115" workbookViewId="0">
      <pane ySplit="5" topLeftCell="A21" activePane="bottomLeft" state="frozen"/>
      <selection pane="bottomLeft" activeCell="D20" sqref="D20"/>
    </sheetView>
  </sheetViews>
  <sheetFormatPr defaultRowHeight="15.75"/>
  <cols>
    <col min="1" max="1" width="3.28515625" style="4" customWidth="1"/>
    <col min="2" max="3" width="11.85546875" style="4" customWidth="1"/>
    <col min="4" max="4" width="17.42578125" style="4" customWidth="1"/>
    <col min="5" max="16384" width="9.140625" style="4"/>
  </cols>
  <sheetData>
    <row r="2" spans="2:13">
      <c r="B2" s="19" t="s">
        <v>257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</row>
    <row r="3" spans="2:13" ht="52.5" customHeight="1">
      <c r="B3" s="22" t="s">
        <v>299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4"/>
    </row>
    <row r="5" spans="2:13" ht="24.75" customHeight="1">
      <c r="B5" s="25" t="s">
        <v>258</v>
      </c>
      <c r="C5" s="25"/>
      <c r="D5" s="8" t="s">
        <v>266</v>
      </c>
      <c r="E5" s="25" t="s">
        <v>259</v>
      </c>
      <c r="F5" s="25"/>
      <c r="G5" s="25"/>
      <c r="H5" s="25"/>
      <c r="I5" s="25"/>
      <c r="J5" s="25"/>
      <c r="K5" s="25"/>
      <c r="L5" s="25"/>
      <c r="M5" s="25"/>
    </row>
    <row r="6" spans="2:13" s="5" customFormat="1" ht="57.75" customHeight="1">
      <c r="B6" s="18" t="s">
        <v>261</v>
      </c>
      <c r="C6" s="18"/>
      <c r="D6" s="7" t="s">
        <v>267</v>
      </c>
      <c r="E6" s="18" t="s">
        <v>278</v>
      </c>
      <c r="F6" s="18"/>
      <c r="G6" s="18"/>
      <c r="H6" s="18"/>
      <c r="I6" s="18"/>
      <c r="J6" s="18"/>
      <c r="K6" s="18"/>
      <c r="L6" s="18"/>
      <c r="M6" s="18"/>
    </row>
    <row r="7" spans="2:13" s="5" customFormat="1" ht="53.25" customHeight="1">
      <c r="B7" s="18" t="s">
        <v>262</v>
      </c>
      <c r="C7" s="18"/>
      <c r="D7" s="7" t="s">
        <v>267</v>
      </c>
      <c r="E7" s="18" t="s">
        <v>279</v>
      </c>
      <c r="F7" s="18"/>
      <c r="G7" s="18"/>
      <c r="H7" s="18"/>
      <c r="I7" s="18"/>
      <c r="J7" s="18"/>
      <c r="K7" s="18"/>
      <c r="L7" s="18"/>
      <c r="M7" s="18"/>
    </row>
    <row r="8" spans="2:13" s="5" customFormat="1" ht="54.75" customHeight="1">
      <c r="B8" s="18" t="s">
        <v>263</v>
      </c>
      <c r="C8" s="18"/>
      <c r="D8" s="7" t="s">
        <v>267</v>
      </c>
      <c r="E8" s="18" t="s">
        <v>280</v>
      </c>
      <c r="F8" s="18"/>
      <c r="G8" s="18"/>
      <c r="H8" s="18"/>
      <c r="I8" s="18"/>
      <c r="J8" s="18"/>
      <c r="K8" s="18"/>
      <c r="L8" s="18"/>
      <c r="M8" s="18"/>
    </row>
    <row r="9" spans="2:13" s="5" customFormat="1" ht="48.75" customHeight="1">
      <c r="B9" s="18" t="s">
        <v>264</v>
      </c>
      <c r="C9" s="18"/>
      <c r="D9" s="7" t="s">
        <v>267</v>
      </c>
      <c r="E9" s="18" t="s">
        <v>281</v>
      </c>
      <c r="F9" s="18"/>
      <c r="G9" s="18"/>
      <c r="H9" s="18"/>
      <c r="I9" s="18"/>
      <c r="J9" s="18"/>
      <c r="K9" s="18"/>
      <c r="L9" s="18"/>
      <c r="M9" s="18"/>
    </row>
    <row r="10" spans="2:13" s="5" customFormat="1" ht="47.25" customHeight="1">
      <c r="B10" s="18" t="s">
        <v>265</v>
      </c>
      <c r="C10" s="18"/>
      <c r="D10" s="7" t="s">
        <v>269</v>
      </c>
      <c r="E10" s="18" t="s">
        <v>282</v>
      </c>
      <c r="F10" s="18"/>
      <c r="G10" s="18"/>
      <c r="H10" s="18"/>
      <c r="I10" s="18"/>
      <c r="J10" s="18"/>
      <c r="K10" s="18"/>
      <c r="L10" s="18"/>
      <c r="M10" s="18"/>
    </row>
    <row r="11" spans="2:13" s="5" customFormat="1" ht="42" customHeight="1">
      <c r="B11" s="18" t="s">
        <v>165</v>
      </c>
      <c r="C11" s="18"/>
      <c r="D11" s="7" t="s">
        <v>268</v>
      </c>
      <c r="E11" s="18" t="s">
        <v>286</v>
      </c>
      <c r="F11" s="18"/>
      <c r="G11" s="18"/>
      <c r="H11" s="18"/>
      <c r="I11" s="18"/>
      <c r="J11" s="18"/>
      <c r="K11" s="18"/>
      <c r="L11" s="18"/>
      <c r="M11" s="18"/>
    </row>
    <row r="12" spans="2:13" s="5" customFormat="1" ht="42" customHeight="1">
      <c r="B12" s="18" t="s">
        <v>166</v>
      </c>
      <c r="C12" s="18"/>
      <c r="D12" s="7" t="s">
        <v>268</v>
      </c>
      <c r="E12" s="18" t="s">
        <v>287</v>
      </c>
      <c r="F12" s="18"/>
      <c r="G12" s="18"/>
      <c r="H12" s="18"/>
      <c r="I12" s="18"/>
      <c r="J12" s="18"/>
      <c r="K12" s="18"/>
      <c r="L12" s="18"/>
      <c r="M12" s="18"/>
    </row>
    <row r="13" spans="2:13" s="5" customFormat="1" ht="42" customHeight="1">
      <c r="B13" s="18" t="s">
        <v>167</v>
      </c>
      <c r="C13" s="18"/>
      <c r="D13" s="7" t="s">
        <v>268</v>
      </c>
      <c r="E13" s="18" t="s">
        <v>288</v>
      </c>
      <c r="F13" s="18"/>
      <c r="G13" s="18"/>
      <c r="H13" s="18"/>
      <c r="I13" s="18"/>
      <c r="J13" s="18"/>
      <c r="K13" s="18"/>
      <c r="L13" s="18"/>
      <c r="M13" s="18"/>
    </row>
    <row r="14" spans="2:13" s="5" customFormat="1" ht="42" customHeight="1">
      <c r="B14" s="18" t="s">
        <v>260</v>
      </c>
      <c r="C14" s="18"/>
      <c r="D14" s="7" t="s">
        <v>268</v>
      </c>
      <c r="E14" s="18" t="s">
        <v>283</v>
      </c>
      <c r="F14" s="18"/>
      <c r="G14" s="18"/>
      <c r="H14" s="18"/>
      <c r="I14" s="18"/>
      <c r="J14" s="18"/>
      <c r="K14" s="18"/>
      <c r="L14" s="18"/>
      <c r="M14" s="18"/>
    </row>
    <row r="15" spans="2:13" ht="43.5" customHeight="1">
      <c r="B15" s="18" t="s">
        <v>270</v>
      </c>
      <c r="C15" s="18"/>
      <c r="D15" s="7" t="s">
        <v>272</v>
      </c>
      <c r="E15" s="18" t="s">
        <v>284</v>
      </c>
      <c r="F15" s="18"/>
      <c r="G15" s="18"/>
      <c r="H15" s="18"/>
      <c r="I15" s="18"/>
      <c r="J15" s="18"/>
      <c r="K15" s="18"/>
      <c r="L15" s="18"/>
      <c r="M15" s="18"/>
    </row>
    <row r="16" spans="2:13" s="6" customFormat="1" ht="26.25" customHeight="1">
      <c r="B16" s="18" t="s">
        <v>273</v>
      </c>
      <c r="C16" s="18"/>
      <c r="D16" s="7" t="s">
        <v>275</v>
      </c>
      <c r="E16" s="18" t="s">
        <v>285</v>
      </c>
      <c r="F16" s="18"/>
      <c r="G16" s="18"/>
      <c r="H16" s="18"/>
      <c r="I16" s="18"/>
      <c r="J16" s="18"/>
      <c r="K16" s="18"/>
      <c r="L16" s="18"/>
      <c r="M16" s="18"/>
    </row>
    <row r="17" spans="2:13" s="6" customFormat="1" ht="26.25" customHeight="1">
      <c r="B17" s="18" t="s">
        <v>274</v>
      </c>
      <c r="C17" s="18"/>
      <c r="D17" s="7" t="s">
        <v>275</v>
      </c>
      <c r="E17" s="18" t="s">
        <v>289</v>
      </c>
      <c r="F17" s="18"/>
      <c r="G17" s="18"/>
      <c r="H17" s="18"/>
      <c r="I17" s="18"/>
      <c r="J17" s="18"/>
      <c r="K17" s="18"/>
      <c r="L17" s="18"/>
      <c r="M17" s="18"/>
    </row>
    <row r="18" spans="2:13" ht="44.25" customHeight="1">
      <c r="B18" s="18" t="s">
        <v>294</v>
      </c>
      <c r="C18" s="18"/>
      <c r="D18" s="7" t="s">
        <v>268</v>
      </c>
      <c r="E18" s="18" t="s">
        <v>290</v>
      </c>
      <c r="F18" s="18"/>
      <c r="G18" s="18"/>
      <c r="H18" s="18"/>
      <c r="I18" s="18"/>
      <c r="J18" s="18"/>
      <c r="K18" s="18"/>
      <c r="L18" s="18"/>
      <c r="M18" s="18"/>
    </row>
    <row r="19" spans="2:13" ht="44.25" customHeight="1">
      <c r="B19" s="18" t="s">
        <v>295</v>
      </c>
      <c r="C19" s="18"/>
      <c r="D19" s="7" t="s">
        <v>268</v>
      </c>
      <c r="E19" s="18" t="s">
        <v>291</v>
      </c>
      <c r="F19" s="18"/>
      <c r="G19" s="18"/>
      <c r="H19" s="18"/>
      <c r="I19" s="18"/>
      <c r="J19" s="18"/>
      <c r="K19" s="18"/>
      <c r="L19" s="18"/>
      <c r="M19" s="18"/>
    </row>
    <row r="20" spans="2:13" ht="44.25" customHeight="1">
      <c r="B20" s="18" t="s">
        <v>296</v>
      </c>
      <c r="C20" s="18"/>
      <c r="D20" s="7" t="s">
        <v>268</v>
      </c>
      <c r="E20" s="18" t="s">
        <v>292</v>
      </c>
      <c r="F20" s="18"/>
      <c r="G20" s="18"/>
      <c r="H20" s="18"/>
      <c r="I20" s="18"/>
      <c r="J20" s="18"/>
      <c r="K20" s="18"/>
      <c r="L20" s="18"/>
      <c r="M20" s="18"/>
    </row>
    <row r="21" spans="2:13" ht="44.25" customHeight="1">
      <c r="B21" s="18" t="s">
        <v>276</v>
      </c>
      <c r="C21" s="18"/>
      <c r="D21" s="7" t="s">
        <v>277</v>
      </c>
      <c r="E21" s="18" t="s">
        <v>293</v>
      </c>
      <c r="F21" s="18"/>
      <c r="G21" s="18"/>
      <c r="H21" s="18"/>
      <c r="I21" s="18"/>
      <c r="J21" s="18"/>
      <c r="K21" s="18"/>
      <c r="L21" s="18"/>
      <c r="M21" s="18"/>
    </row>
  </sheetData>
  <mergeCells count="36">
    <mergeCell ref="B21:C21"/>
    <mergeCell ref="E21:M21"/>
    <mergeCell ref="E17:M17"/>
    <mergeCell ref="B18:C18"/>
    <mergeCell ref="E18:M18"/>
    <mergeCell ref="B19:C19"/>
    <mergeCell ref="E19:M19"/>
    <mergeCell ref="B20:C20"/>
    <mergeCell ref="E20:M20"/>
    <mergeCell ref="B17:C17"/>
    <mergeCell ref="B14:C14"/>
    <mergeCell ref="E14:M14"/>
    <mergeCell ref="B15:C15"/>
    <mergeCell ref="E15:M15"/>
    <mergeCell ref="E16:M16"/>
    <mergeCell ref="B16:C16"/>
    <mergeCell ref="B2:M2"/>
    <mergeCell ref="B3:M3"/>
    <mergeCell ref="B5:C5"/>
    <mergeCell ref="E5:M5"/>
    <mergeCell ref="B10:C10"/>
    <mergeCell ref="E10:M10"/>
    <mergeCell ref="B6:C6"/>
    <mergeCell ref="E6:M6"/>
    <mergeCell ref="B7:C7"/>
    <mergeCell ref="E7:M7"/>
    <mergeCell ref="B8:C8"/>
    <mergeCell ref="E8:M8"/>
    <mergeCell ref="B9:C9"/>
    <mergeCell ref="E9:M9"/>
    <mergeCell ref="B12:C12"/>
    <mergeCell ref="E12:M12"/>
    <mergeCell ref="B13:C13"/>
    <mergeCell ref="E13:M13"/>
    <mergeCell ref="B11:C11"/>
    <mergeCell ref="E11:M11"/>
  </mergeCells>
  <printOptions horizontalCentered="1"/>
  <pageMargins left="0.511811024" right="0.511811024" top="0.78740157499999996" bottom="0.78740157499999996" header="0.31496062000000002" footer="0.31496062000000002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Y81"/>
  <sheetViews>
    <sheetView zoomScale="115" zoomScaleNormal="115" workbookViewId="0">
      <pane xSplit="3" ySplit="1" topLeftCell="T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3" width="17" style="1" customWidth="1"/>
    <col min="4" max="5" width="11.28515625" style="1" customWidth="1"/>
    <col min="6" max="7" width="14" style="1" customWidth="1"/>
    <col min="8" max="11" width="11.28515625" style="1" customWidth="1"/>
    <col min="12" max="13" width="14.140625" style="1" customWidth="1"/>
    <col min="14" max="14" width="15.5703125" style="1" customWidth="1"/>
    <col min="15" max="17" width="14.140625" style="1" customWidth="1"/>
    <col min="18" max="18" width="24.7109375" style="1" customWidth="1"/>
    <col min="19" max="19" width="23.140625" style="1" customWidth="1"/>
    <col min="20" max="20" width="14" style="1" customWidth="1"/>
    <col min="21" max="21" width="17.85546875" style="1" customWidth="1"/>
    <col min="22" max="24" width="19.28515625" style="1" customWidth="1"/>
    <col min="25" max="25" width="14.7109375" style="1" customWidth="1"/>
    <col min="26" max="16384" width="9.140625" style="1"/>
  </cols>
  <sheetData>
    <row r="1" spans="1:25" s="2" customFormat="1" ht="30" customHeight="1">
      <c r="A1" s="9" t="s">
        <v>160</v>
      </c>
      <c r="B1" s="9" t="s">
        <v>161</v>
      </c>
      <c r="C1" s="9" t="s">
        <v>162</v>
      </c>
      <c r="D1" s="10" t="s">
        <v>247</v>
      </c>
      <c r="E1" s="10" t="s">
        <v>248</v>
      </c>
      <c r="F1" s="10" t="s">
        <v>249</v>
      </c>
      <c r="G1" s="10" t="s">
        <v>250</v>
      </c>
      <c r="H1" s="10" t="s">
        <v>251</v>
      </c>
      <c r="I1" s="10" t="s">
        <v>252</v>
      </c>
      <c r="J1" s="10" t="s">
        <v>253</v>
      </c>
      <c r="K1" s="10" t="s">
        <v>254</v>
      </c>
      <c r="L1" s="9" t="s">
        <v>163</v>
      </c>
      <c r="M1" s="9" t="s">
        <v>255</v>
      </c>
      <c r="N1" s="9" t="s">
        <v>164</v>
      </c>
      <c r="O1" s="9" t="s">
        <v>165</v>
      </c>
      <c r="P1" s="9" t="s">
        <v>166</v>
      </c>
      <c r="Q1" s="9" t="s">
        <v>167</v>
      </c>
      <c r="R1" s="9" t="s">
        <v>260</v>
      </c>
      <c r="S1" s="9" t="s">
        <v>271</v>
      </c>
      <c r="T1" s="11" t="s">
        <v>273</v>
      </c>
      <c r="U1" s="11" t="s">
        <v>274</v>
      </c>
      <c r="V1" s="12" t="s">
        <v>294</v>
      </c>
      <c r="W1" s="13" t="s">
        <v>297</v>
      </c>
      <c r="X1" s="13" t="s">
        <v>298</v>
      </c>
      <c r="Y1" s="11" t="s">
        <v>276</v>
      </c>
    </row>
    <row r="2" spans="1:25">
      <c r="A2" s="14" t="s">
        <v>21</v>
      </c>
      <c r="B2" s="14" t="s">
        <v>22</v>
      </c>
      <c r="C2" s="14" t="s">
        <v>168</v>
      </c>
      <c r="D2" s="15">
        <v>5.2608695652173916</v>
      </c>
      <c r="E2" s="15">
        <v>1.4740954776761586</v>
      </c>
      <c r="F2" s="15">
        <v>5.2173913043478262</v>
      </c>
      <c r="G2" s="15">
        <v>1.8917175575983198</v>
      </c>
      <c r="H2" s="16">
        <v>5.5</v>
      </c>
      <c r="I2" s="16">
        <v>1.6541655709945533</v>
      </c>
      <c r="J2" s="15">
        <v>5.4673913043478262</v>
      </c>
      <c r="K2" s="15">
        <v>1.680208562122943</v>
      </c>
      <c r="L2" s="16">
        <v>1.6086956521739131</v>
      </c>
      <c r="M2" s="16">
        <v>1.088970899813319</v>
      </c>
      <c r="N2" s="16">
        <v>1</v>
      </c>
      <c r="O2" s="17">
        <v>5.2631578947368418E-2</v>
      </c>
      <c r="P2" s="17">
        <v>0.36842105263157893</v>
      </c>
      <c r="Q2" s="17">
        <v>0.52631578947368418</v>
      </c>
      <c r="R2" s="16">
        <v>0.31578947368421051</v>
      </c>
      <c r="S2" s="17">
        <v>1.46</v>
      </c>
      <c r="T2" s="14">
        <f t="shared" ref="T2:T33" si="0">LEN(A2)</f>
        <v>6</v>
      </c>
      <c r="U2" s="14">
        <f t="shared" ref="U2:U33" si="1">LEN(B2)</f>
        <v>6</v>
      </c>
      <c r="V2" s="14" t="s">
        <v>256</v>
      </c>
      <c r="W2" s="14"/>
      <c r="X2" s="14"/>
      <c r="Y2" s="14">
        <v>0</v>
      </c>
    </row>
    <row r="3" spans="1:25">
      <c r="A3" s="14" t="s">
        <v>100</v>
      </c>
      <c r="B3" s="14" t="s">
        <v>101</v>
      </c>
      <c r="C3" s="14" t="s">
        <v>169</v>
      </c>
      <c r="D3" s="15">
        <v>4.3804347826086953</v>
      </c>
      <c r="E3" s="15">
        <v>1.7718332922372164</v>
      </c>
      <c r="F3" s="15">
        <v>5.8043478260869561</v>
      </c>
      <c r="G3" s="15">
        <v>1.5063173230390494</v>
      </c>
      <c r="H3" s="16">
        <v>5.8478260869565215</v>
      </c>
      <c r="I3" s="16">
        <v>1.6303089615411015</v>
      </c>
      <c r="J3" s="15">
        <v>4.2608695652173916</v>
      </c>
      <c r="K3" s="15">
        <v>1.915062132624108</v>
      </c>
      <c r="L3" s="16">
        <v>1.423913043478261</v>
      </c>
      <c r="M3" s="16">
        <v>0.89238162205887983</v>
      </c>
      <c r="N3" s="16">
        <v>1</v>
      </c>
      <c r="O3" s="17">
        <v>0.11764705882352941</v>
      </c>
      <c r="P3" s="17">
        <v>0.47058823529411764</v>
      </c>
      <c r="Q3" s="17">
        <v>0.58823529411764708</v>
      </c>
      <c r="R3" s="16">
        <v>0.39215686274509803</v>
      </c>
      <c r="S3" s="17">
        <v>0.14000000000000001</v>
      </c>
      <c r="T3" s="14">
        <f t="shared" si="0"/>
        <v>6</v>
      </c>
      <c r="U3" s="14">
        <f t="shared" si="1"/>
        <v>8</v>
      </c>
      <c r="V3" s="14"/>
      <c r="W3" s="14"/>
      <c r="X3" s="14"/>
      <c r="Y3" s="14">
        <v>0</v>
      </c>
    </row>
    <row r="4" spans="1:25">
      <c r="A4" s="14" t="s">
        <v>72</v>
      </c>
      <c r="B4" s="14" t="s">
        <v>146</v>
      </c>
      <c r="C4" s="14" t="s">
        <v>170</v>
      </c>
      <c r="D4" s="15">
        <v>5.9891304347826084</v>
      </c>
      <c r="E4" s="15">
        <v>1.1142884707231879</v>
      </c>
      <c r="F4" s="15">
        <v>6.4891304347826084</v>
      </c>
      <c r="G4" s="15">
        <v>1.0638367760594249</v>
      </c>
      <c r="H4" s="16">
        <v>7.1086956521739131</v>
      </c>
      <c r="I4" s="16">
        <v>1.8895695290874097</v>
      </c>
      <c r="J4" s="15">
        <v>2.847826086956522</v>
      </c>
      <c r="K4" s="15">
        <v>1.8923488666623143</v>
      </c>
      <c r="L4" s="16">
        <v>4.25</v>
      </c>
      <c r="M4" s="16">
        <v>1.0443463700608819</v>
      </c>
      <c r="N4" s="16">
        <v>5</v>
      </c>
      <c r="O4" s="17">
        <v>0.11764705882352941</v>
      </c>
      <c r="P4" s="17">
        <v>0.35294117647058826</v>
      </c>
      <c r="Q4" s="17">
        <v>0.58823529411764708</v>
      </c>
      <c r="R4" s="16">
        <v>0.35294117647058826</v>
      </c>
      <c r="S4" s="17">
        <v>1.32</v>
      </c>
      <c r="T4" s="14">
        <f t="shared" si="0"/>
        <v>5</v>
      </c>
      <c r="U4" s="14">
        <f t="shared" si="1"/>
        <v>7</v>
      </c>
      <c r="V4" s="14"/>
      <c r="W4" s="14"/>
      <c r="X4" s="14"/>
      <c r="Y4" s="14">
        <v>0</v>
      </c>
    </row>
    <row r="5" spans="1:25">
      <c r="A5" s="14" t="s">
        <v>2</v>
      </c>
      <c r="B5" s="14" t="s">
        <v>3</v>
      </c>
      <c r="C5" s="14" t="s">
        <v>171</v>
      </c>
      <c r="D5" s="15">
        <v>6.1630434782608692</v>
      </c>
      <c r="E5" s="15">
        <v>1.16049604696093</v>
      </c>
      <c r="F5" s="15">
        <v>2.5217391304347827</v>
      </c>
      <c r="G5" s="15">
        <v>2.2261100990196954</v>
      </c>
      <c r="H5" s="16">
        <v>6.7173913043478262</v>
      </c>
      <c r="I5" s="16">
        <v>2.1551170231938248</v>
      </c>
      <c r="J5" s="15">
        <v>4.4456521739130439</v>
      </c>
      <c r="K5" s="15">
        <v>2.5478460216847885</v>
      </c>
      <c r="L5" s="16">
        <v>2.4891304347826089</v>
      </c>
      <c r="M5" s="16">
        <v>1.5298823140646214</v>
      </c>
      <c r="N5" s="16">
        <v>2</v>
      </c>
      <c r="O5" s="17">
        <v>0.35294117647058831</v>
      </c>
      <c r="P5" s="17">
        <v>0.76470588235294112</v>
      </c>
      <c r="Q5" s="17">
        <v>0.88235294117647045</v>
      </c>
      <c r="R5" s="16">
        <v>0.66666666666666663</v>
      </c>
      <c r="S5" s="17">
        <v>1.88</v>
      </c>
      <c r="T5" s="14">
        <f t="shared" si="0"/>
        <v>4</v>
      </c>
      <c r="U5" s="14">
        <f t="shared" si="1"/>
        <v>4</v>
      </c>
      <c r="V5" s="16">
        <v>0.10169491525423729</v>
      </c>
      <c r="W5" s="17">
        <v>0.5490196078431373</v>
      </c>
      <c r="X5" s="16">
        <v>0.4642857142857143</v>
      </c>
      <c r="Y5" s="14">
        <v>1</v>
      </c>
    </row>
    <row r="6" spans="1:25">
      <c r="A6" s="14" t="s">
        <v>68</v>
      </c>
      <c r="B6" s="14" t="s">
        <v>147</v>
      </c>
      <c r="C6" s="14" t="s">
        <v>172</v>
      </c>
      <c r="D6" s="15">
        <v>5.0978260869565215</v>
      </c>
      <c r="E6" s="15">
        <v>1.5410841239576092</v>
      </c>
      <c r="F6" s="15">
        <v>6.25</v>
      </c>
      <c r="G6" s="15">
        <v>1.4647881743120388</v>
      </c>
      <c r="H6" s="16">
        <v>6.6739130434782608</v>
      </c>
      <c r="I6" s="16">
        <v>1.8102801413476506</v>
      </c>
      <c r="J6" s="15">
        <v>3.75</v>
      </c>
      <c r="K6" s="15">
        <v>2.1050697568771164</v>
      </c>
      <c r="L6" s="16">
        <v>2.0326086956521738</v>
      </c>
      <c r="M6" s="16">
        <v>1.4331329467291156</v>
      </c>
      <c r="N6" s="16">
        <v>1</v>
      </c>
      <c r="O6" s="17">
        <v>0</v>
      </c>
      <c r="P6" s="17">
        <v>0.1764705882352941</v>
      </c>
      <c r="Q6" s="17">
        <v>0.47058823529411764</v>
      </c>
      <c r="R6" s="16">
        <v>0.2156862745098039</v>
      </c>
      <c r="S6" s="17">
        <v>0.09</v>
      </c>
      <c r="T6" s="14">
        <f t="shared" si="0"/>
        <v>4</v>
      </c>
      <c r="U6" s="14">
        <f t="shared" si="1"/>
        <v>7</v>
      </c>
      <c r="V6" s="16">
        <v>5.0847457627118647E-2</v>
      </c>
      <c r="W6" s="17">
        <v>0.27450980392156865</v>
      </c>
      <c r="X6" s="16">
        <v>7.1428571428571425E-2</v>
      </c>
      <c r="Y6" s="14">
        <v>1</v>
      </c>
    </row>
    <row r="7" spans="1:25">
      <c r="A7" s="14" t="s">
        <v>45</v>
      </c>
      <c r="B7" s="14" t="s">
        <v>144</v>
      </c>
      <c r="C7" s="14" t="s">
        <v>173</v>
      </c>
      <c r="D7" s="15">
        <v>4.8695652173913047</v>
      </c>
      <c r="E7" s="15">
        <v>1.4841091700636391</v>
      </c>
      <c r="F7" s="15">
        <v>6.1630434782608692</v>
      </c>
      <c r="G7" s="15">
        <v>1.294766930641293</v>
      </c>
      <c r="H7" s="16">
        <v>5.2065217391304346</v>
      </c>
      <c r="I7" s="16">
        <v>1.5866063270026538</v>
      </c>
      <c r="J7" s="15">
        <v>4.6521739130434785</v>
      </c>
      <c r="K7" s="15">
        <v>1.7060640558983931</v>
      </c>
      <c r="L7" s="16">
        <v>4.3586956521739131</v>
      </c>
      <c r="M7" s="16">
        <v>1.0008954423786203</v>
      </c>
      <c r="N7" s="16">
        <v>5</v>
      </c>
      <c r="O7" s="17">
        <v>0.11764705882352944</v>
      </c>
      <c r="P7" s="17">
        <v>0.23529411764705888</v>
      </c>
      <c r="Q7" s="17">
        <v>0.47058823529411764</v>
      </c>
      <c r="R7" s="16">
        <v>0.27450980392156865</v>
      </c>
      <c r="S7" s="17">
        <v>1.1499999999999999</v>
      </c>
      <c r="T7" s="14">
        <f t="shared" si="0"/>
        <v>5</v>
      </c>
      <c r="U7" s="14">
        <f t="shared" si="1"/>
        <v>6</v>
      </c>
      <c r="V7" s="16">
        <v>8.4745762711864403E-2</v>
      </c>
      <c r="W7" s="17">
        <v>0.17647058823529413</v>
      </c>
      <c r="X7" s="16">
        <v>0.14285714285714285</v>
      </c>
      <c r="Y7" s="14">
        <v>1</v>
      </c>
    </row>
    <row r="8" spans="1:25">
      <c r="A8" s="14" t="s">
        <v>13</v>
      </c>
      <c r="B8" s="14" t="s">
        <v>14</v>
      </c>
      <c r="C8" s="14" t="s">
        <v>174</v>
      </c>
      <c r="D8" s="15">
        <v>5.8586956521739131</v>
      </c>
      <c r="E8" s="15">
        <v>1.2973474353051992</v>
      </c>
      <c r="F8" s="15">
        <v>6.6195652173913047</v>
      </c>
      <c r="G8" s="15">
        <v>1.0360787371363744</v>
      </c>
      <c r="H8" s="16">
        <v>6.2173913043478262</v>
      </c>
      <c r="I8" s="16">
        <v>2.8930613731710815</v>
      </c>
      <c r="J8" s="15">
        <v>4.5760869565217392</v>
      </c>
      <c r="K8" s="15">
        <v>2.6363215117345971</v>
      </c>
      <c r="L8" s="16">
        <v>2.7282608695652173</v>
      </c>
      <c r="M8" s="16">
        <v>1.6042749269029124</v>
      </c>
      <c r="N8" s="16">
        <v>3</v>
      </c>
      <c r="O8" s="17">
        <v>0.70588235294117652</v>
      </c>
      <c r="P8" s="17">
        <v>0.88235294117647045</v>
      </c>
      <c r="Q8" s="17">
        <v>0.88235294117647045</v>
      </c>
      <c r="R8" s="16">
        <v>0.82352941176470573</v>
      </c>
      <c r="S8" s="17">
        <v>0.17</v>
      </c>
      <c r="T8" s="14">
        <f t="shared" si="0"/>
        <v>7</v>
      </c>
      <c r="U8" s="14">
        <f t="shared" si="1"/>
        <v>8</v>
      </c>
      <c r="V8" s="14"/>
      <c r="W8" s="14"/>
      <c r="X8" s="14"/>
      <c r="Y8" s="14">
        <v>0</v>
      </c>
    </row>
    <row r="9" spans="1:25">
      <c r="A9" s="14" t="s">
        <v>39</v>
      </c>
      <c r="B9" s="14" t="s">
        <v>40</v>
      </c>
      <c r="C9" s="14" t="s">
        <v>175</v>
      </c>
      <c r="D9" s="15">
        <v>6.2608695652173916</v>
      </c>
      <c r="E9" s="15">
        <v>1.0981459421553836</v>
      </c>
      <c r="F9" s="15">
        <v>6.7282608695652177</v>
      </c>
      <c r="G9" s="15">
        <v>0.83997986461430907</v>
      </c>
      <c r="H9" s="16">
        <v>4.9565217391304346</v>
      </c>
      <c r="I9" s="16">
        <v>1.4057420978529671</v>
      </c>
      <c r="J9" s="15">
        <v>5.0217391304347823</v>
      </c>
      <c r="K9" s="15">
        <v>1.8094881849956348</v>
      </c>
      <c r="L9" s="16">
        <v>1.4130434782608696</v>
      </c>
      <c r="M9" s="16">
        <v>0.8913771776381435</v>
      </c>
      <c r="N9" s="16">
        <v>1</v>
      </c>
      <c r="O9" s="17">
        <v>0.15789473684210525</v>
      </c>
      <c r="P9" s="17">
        <v>0.42105263157894729</v>
      </c>
      <c r="Q9" s="17">
        <v>0.6842105263157896</v>
      </c>
      <c r="R9" s="16">
        <v>0.42105263157894735</v>
      </c>
      <c r="S9" s="17">
        <v>0.3</v>
      </c>
      <c r="T9" s="14">
        <f t="shared" si="0"/>
        <v>4</v>
      </c>
      <c r="U9" s="14">
        <f t="shared" si="1"/>
        <v>5</v>
      </c>
      <c r="V9" s="14"/>
      <c r="W9" s="14"/>
      <c r="X9" s="14"/>
      <c r="Y9" s="14">
        <v>0</v>
      </c>
    </row>
    <row r="10" spans="1:25">
      <c r="A10" s="14" t="s">
        <v>30</v>
      </c>
      <c r="B10" s="14" t="s">
        <v>31</v>
      </c>
      <c r="C10" s="14" t="s">
        <v>176</v>
      </c>
      <c r="D10" s="15">
        <v>5.4130434782608692</v>
      </c>
      <c r="E10" s="15">
        <v>1.4231382587729744</v>
      </c>
      <c r="F10" s="15">
        <v>6.5217391304347823</v>
      </c>
      <c r="G10" s="15">
        <v>1.1718142303880319</v>
      </c>
      <c r="H10" s="16">
        <v>6.1739130434782608</v>
      </c>
      <c r="I10" s="16">
        <v>1.9420658291271089</v>
      </c>
      <c r="J10" s="15">
        <v>4.1630434782608692</v>
      </c>
      <c r="K10" s="15">
        <v>2.0663562127786359</v>
      </c>
      <c r="L10" s="16">
        <v>1.8695652173913044</v>
      </c>
      <c r="M10" s="16">
        <v>1.2598394394851946</v>
      </c>
      <c r="N10" s="16">
        <v>1</v>
      </c>
      <c r="O10" s="17">
        <v>0.10526315789473686</v>
      </c>
      <c r="P10" s="17">
        <v>0.31578947368421056</v>
      </c>
      <c r="Q10" s="17">
        <v>0.52631578947368418</v>
      </c>
      <c r="R10" s="16">
        <v>0.31578947368421056</v>
      </c>
      <c r="S10" s="17">
        <v>1.43</v>
      </c>
      <c r="T10" s="14">
        <f t="shared" si="0"/>
        <v>6</v>
      </c>
      <c r="U10" s="14">
        <f t="shared" si="1"/>
        <v>5</v>
      </c>
      <c r="V10" s="14"/>
      <c r="W10" s="14"/>
      <c r="X10" s="14"/>
      <c r="Y10" s="14">
        <v>0</v>
      </c>
    </row>
    <row r="11" spans="1:25">
      <c r="A11" s="14" t="s">
        <v>41</v>
      </c>
      <c r="B11" s="14" t="s">
        <v>42</v>
      </c>
      <c r="C11" s="14" t="s">
        <v>177</v>
      </c>
      <c r="D11" s="15">
        <v>4.8695652173913047</v>
      </c>
      <c r="E11" s="15">
        <v>1.5061587215831702</v>
      </c>
      <c r="F11" s="15">
        <v>6.4673913043478262</v>
      </c>
      <c r="G11" s="15">
        <v>0.98840627581850216</v>
      </c>
      <c r="H11" s="16">
        <v>5.2065217391304346</v>
      </c>
      <c r="I11" s="16">
        <v>1.600398600612015</v>
      </c>
      <c r="J11" s="15">
        <v>4.6195652173913047</v>
      </c>
      <c r="K11" s="15">
        <v>1.7656203424015455</v>
      </c>
      <c r="L11" s="16">
        <v>4.9130434782608692</v>
      </c>
      <c r="M11" s="16">
        <v>0.48385298632392709</v>
      </c>
      <c r="N11" s="16">
        <v>5</v>
      </c>
      <c r="O11" s="17">
        <v>0.52941176470588236</v>
      </c>
      <c r="P11" s="17">
        <v>0.70588235294117652</v>
      </c>
      <c r="Q11" s="17">
        <v>1</v>
      </c>
      <c r="R11" s="16">
        <v>0.74509803921568629</v>
      </c>
      <c r="S11" s="17">
        <v>0.64</v>
      </c>
      <c r="T11" s="14">
        <f t="shared" si="0"/>
        <v>4</v>
      </c>
      <c r="U11" s="14">
        <f t="shared" si="1"/>
        <v>6</v>
      </c>
      <c r="V11" s="16">
        <v>0.67796610169491522</v>
      </c>
      <c r="W11" s="17">
        <v>0.58823529411764708</v>
      </c>
      <c r="X11" s="16">
        <v>0.7142857142857143</v>
      </c>
      <c r="Y11" s="14">
        <v>1</v>
      </c>
    </row>
    <row r="12" spans="1:25">
      <c r="A12" s="14" t="s">
        <v>136</v>
      </c>
      <c r="B12" s="14" t="s">
        <v>137</v>
      </c>
      <c r="C12" s="14" t="s">
        <v>178</v>
      </c>
      <c r="D12" s="15">
        <v>5.9021739130434785</v>
      </c>
      <c r="E12" s="15">
        <v>1.3013921760159428</v>
      </c>
      <c r="F12" s="15">
        <v>4.6413043478260869</v>
      </c>
      <c r="G12" s="15">
        <v>2.0195828191726557</v>
      </c>
      <c r="H12" s="16">
        <v>3.2826086956521738</v>
      </c>
      <c r="I12" s="16">
        <v>1.900411100444529</v>
      </c>
      <c r="J12" s="15">
        <v>5.9456521739130439</v>
      </c>
      <c r="K12" s="15">
        <v>1.9632006298013362</v>
      </c>
      <c r="L12" s="16">
        <v>4.3369565217391308</v>
      </c>
      <c r="M12" s="16">
        <v>0.89291686374566559</v>
      </c>
      <c r="N12" s="16">
        <v>5</v>
      </c>
      <c r="O12" s="17">
        <v>0.42105263157894746</v>
      </c>
      <c r="P12" s="17">
        <v>0.78947368421052622</v>
      </c>
      <c r="Q12" s="17">
        <v>0.89473684210526305</v>
      </c>
      <c r="R12" s="16">
        <v>0.70175438596491224</v>
      </c>
      <c r="S12" s="17">
        <v>1.01</v>
      </c>
      <c r="T12" s="14">
        <f t="shared" si="0"/>
        <v>5</v>
      </c>
      <c r="U12" s="14">
        <f t="shared" si="1"/>
        <v>5</v>
      </c>
      <c r="V12" s="16">
        <v>0.57627118644067798</v>
      </c>
      <c r="W12" s="17">
        <v>0.60784313725490191</v>
      </c>
      <c r="X12" s="16">
        <v>0.5357142857142857</v>
      </c>
      <c r="Y12" s="14">
        <v>1</v>
      </c>
    </row>
    <row r="13" spans="1:25">
      <c r="A13" s="14" t="s">
        <v>69</v>
      </c>
      <c r="B13" s="14" t="s">
        <v>70</v>
      </c>
      <c r="C13" s="14" t="s">
        <v>179</v>
      </c>
      <c r="D13" s="15">
        <v>5.1956521739130439</v>
      </c>
      <c r="E13" s="15">
        <v>1.4842701276228198</v>
      </c>
      <c r="F13" s="15">
        <v>6.5978260869565215</v>
      </c>
      <c r="G13" s="15">
        <v>0.94995410656869084</v>
      </c>
      <c r="H13" s="16">
        <v>7.0760869565217392</v>
      </c>
      <c r="I13" s="16">
        <v>1.7866027412362366</v>
      </c>
      <c r="J13" s="15">
        <v>3.097826086956522</v>
      </c>
      <c r="K13" s="15">
        <v>1.9332815728060804</v>
      </c>
      <c r="L13" s="16">
        <v>4.1956521739130439</v>
      </c>
      <c r="M13" s="16">
        <v>1.3846817417873243</v>
      </c>
      <c r="N13" s="16">
        <v>5</v>
      </c>
      <c r="O13" s="17">
        <v>0.23529411764705882</v>
      </c>
      <c r="P13" s="17">
        <v>0.47058823529411764</v>
      </c>
      <c r="Q13" s="17">
        <v>0.58823529411764708</v>
      </c>
      <c r="R13" s="16">
        <v>0.43137254901960781</v>
      </c>
      <c r="S13" s="17">
        <v>-0.59</v>
      </c>
      <c r="T13" s="14">
        <f t="shared" si="0"/>
        <v>4</v>
      </c>
      <c r="U13" s="14">
        <f t="shared" si="1"/>
        <v>8</v>
      </c>
      <c r="V13" s="14"/>
      <c r="W13" s="14"/>
      <c r="X13" s="14"/>
      <c r="Y13" s="14">
        <v>0</v>
      </c>
    </row>
    <row r="14" spans="1:25">
      <c r="A14" s="14" t="s">
        <v>75</v>
      </c>
      <c r="B14" s="14" t="s">
        <v>76</v>
      </c>
      <c r="C14" s="14" t="s">
        <v>180</v>
      </c>
      <c r="D14" s="15">
        <v>6.7391304347826084</v>
      </c>
      <c r="E14" s="15">
        <v>0.66082807222572726</v>
      </c>
      <c r="F14" s="15">
        <v>6.7173913043478262</v>
      </c>
      <c r="G14" s="15">
        <v>0.73119031296216153</v>
      </c>
      <c r="H14" s="16">
        <v>7.6195652173913047</v>
      </c>
      <c r="I14" s="16">
        <v>1.9991338305933979</v>
      </c>
      <c r="J14" s="15">
        <v>4.1195652173913047</v>
      </c>
      <c r="K14" s="15">
        <v>2.9828903723941869</v>
      </c>
      <c r="L14" s="16">
        <v>1.3043478260869565</v>
      </c>
      <c r="M14" s="16">
        <v>0.91073126559215611</v>
      </c>
      <c r="N14" s="16">
        <v>1</v>
      </c>
      <c r="O14" s="17">
        <v>0.26315789473684215</v>
      </c>
      <c r="P14" s="17">
        <v>0.6842105263157896</v>
      </c>
      <c r="Q14" s="17">
        <v>1</v>
      </c>
      <c r="R14" s="16">
        <v>0.64912280701754399</v>
      </c>
      <c r="S14" s="17">
        <v>1.21</v>
      </c>
      <c r="T14" s="14">
        <f t="shared" si="0"/>
        <v>4</v>
      </c>
      <c r="U14" s="14">
        <f t="shared" si="1"/>
        <v>8</v>
      </c>
      <c r="V14" s="16">
        <v>0.6271186440677966</v>
      </c>
      <c r="W14" s="17">
        <v>0.80392156862745101</v>
      </c>
      <c r="X14" s="16">
        <v>0.8928571428571429</v>
      </c>
      <c r="Y14" s="14">
        <v>1</v>
      </c>
    </row>
    <row r="15" spans="1:25" s="3" customFormat="1">
      <c r="A15" s="14" t="s">
        <v>99</v>
      </c>
      <c r="B15" s="14" t="s">
        <v>148</v>
      </c>
      <c r="C15" s="14" t="s">
        <v>181</v>
      </c>
      <c r="D15" s="15">
        <v>5.2065217391304346</v>
      </c>
      <c r="E15" s="15">
        <v>1.6072503547421968</v>
      </c>
      <c r="F15" s="15">
        <v>6.1847826086956523</v>
      </c>
      <c r="G15" s="15">
        <v>1.4745410746375025</v>
      </c>
      <c r="H15" s="16">
        <v>1.7608695652173914</v>
      </c>
      <c r="I15" s="16">
        <v>1.4325077160093005</v>
      </c>
      <c r="J15" s="15">
        <v>7.1304347826086953</v>
      </c>
      <c r="K15" s="15">
        <v>1.835051823110768</v>
      </c>
      <c r="L15" s="16">
        <v>2.4347826086956523</v>
      </c>
      <c r="M15" s="16">
        <v>1.4243128115651855</v>
      </c>
      <c r="N15" s="16">
        <v>2</v>
      </c>
      <c r="O15" s="17">
        <v>0.10526315789473686</v>
      </c>
      <c r="P15" s="17">
        <v>0.36842105263157893</v>
      </c>
      <c r="Q15" s="17">
        <v>0.68421052631578949</v>
      </c>
      <c r="R15" s="16">
        <v>0.38596491228070179</v>
      </c>
      <c r="S15" s="17">
        <v>1.07</v>
      </c>
      <c r="T15" s="14">
        <f t="shared" si="0"/>
        <v>5</v>
      </c>
      <c r="U15" s="14">
        <f t="shared" si="1"/>
        <v>7</v>
      </c>
      <c r="V15" s="14"/>
      <c r="W15" s="14"/>
      <c r="X15" s="14"/>
      <c r="Y15" s="14">
        <v>0</v>
      </c>
    </row>
    <row r="16" spans="1:25">
      <c r="A16" s="14" t="s">
        <v>9</v>
      </c>
      <c r="B16" s="14" t="s">
        <v>10</v>
      </c>
      <c r="C16" s="14" t="s">
        <v>182</v>
      </c>
      <c r="D16" s="15">
        <v>5.1304347826086953</v>
      </c>
      <c r="E16" s="15">
        <v>1.5278901009349839</v>
      </c>
      <c r="F16" s="15">
        <v>6.5869565217391308</v>
      </c>
      <c r="G16" s="15">
        <v>1.1497938077267029</v>
      </c>
      <c r="H16" s="16">
        <v>5.3695652173913047</v>
      </c>
      <c r="I16" s="16">
        <v>2.3001069793770617</v>
      </c>
      <c r="J16" s="15">
        <v>5.0760869565217392</v>
      </c>
      <c r="K16" s="15">
        <v>2.1698923640301495</v>
      </c>
      <c r="L16" s="16">
        <v>1.3804347826086956</v>
      </c>
      <c r="M16" s="16">
        <v>0.86243192187892515</v>
      </c>
      <c r="N16" s="16">
        <v>1</v>
      </c>
      <c r="O16" s="17">
        <v>0.15789473684210525</v>
      </c>
      <c r="P16" s="17">
        <v>0.47368421052631576</v>
      </c>
      <c r="Q16" s="17">
        <v>0.73684210526315796</v>
      </c>
      <c r="R16" s="16">
        <v>0.45614035087719301</v>
      </c>
      <c r="S16" s="17">
        <v>0.36</v>
      </c>
      <c r="T16" s="14">
        <f t="shared" si="0"/>
        <v>3</v>
      </c>
      <c r="U16" s="14">
        <f t="shared" si="1"/>
        <v>10</v>
      </c>
      <c r="V16" s="14"/>
      <c r="W16" s="14"/>
      <c r="X16" s="14"/>
      <c r="Y16" s="14">
        <v>0</v>
      </c>
    </row>
    <row r="17" spans="1:25">
      <c r="A17" s="14" t="s">
        <v>124</v>
      </c>
      <c r="B17" s="14" t="s">
        <v>125</v>
      </c>
      <c r="C17" s="14" t="s">
        <v>183</v>
      </c>
      <c r="D17" s="15">
        <v>5.8043478260869561</v>
      </c>
      <c r="E17" s="15">
        <v>1.2600290458433276</v>
      </c>
      <c r="F17" s="15">
        <v>6.6847826086956523</v>
      </c>
      <c r="G17" s="15">
        <v>0.81104122232449094</v>
      </c>
      <c r="H17" s="16">
        <v>6.7173913043478262</v>
      </c>
      <c r="I17" s="16">
        <v>2.0072729680527255</v>
      </c>
      <c r="J17" s="15">
        <v>4.8913043478260869</v>
      </c>
      <c r="K17" s="15">
        <v>2.5568547030069158</v>
      </c>
      <c r="L17" s="16">
        <v>2.1847826086956523</v>
      </c>
      <c r="M17" s="16">
        <v>1.4214166268012227</v>
      </c>
      <c r="N17" s="16">
        <v>2</v>
      </c>
      <c r="O17" s="17">
        <v>0.11764705882352941</v>
      </c>
      <c r="P17" s="17">
        <v>0.35294117647058826</v>
      </c>
      <c r="Q17" s="17">
        <v>0.70588235294117663</v>
      </c>
      <c r="R17" s="16">
        <v>0.39215686274509814</v>
      </c>
      <c r="S17" s="17">
        <v>1.52</v>
      </c>
      <c r="T17" s="14">
        <f t="shared" si="0"/>
        <v>6</v>
      </c>
      <c r="U17" s="14">
        <f t="shared" si="1"/>
        <v>6</v>
      </c>
      <c r="V17" s="14"/>
      <c r="W17" s="14"/>
      <c r="X17" s="14"/>
      <c r="Y17" s="14">
        <v>0</v>
      </c>
    </row>
    <row r="18" spans="1:25">
      <c r="A18" s="14" t="s">
        <v>114</v>
      </c>
      <c r="B18" s="14" t="s">
        <v>115</v>
      </c>
      <c r="C18" s="14" t="s">
        <v>184</v>
      </c>
      <c r="D18" s="15">
        <v>6.3695652173913047</v>
      </c>
      <c r="E18" s="15">
        <v>0.95753106631205342</v>
      </c>
      <c r="F18" s="15">
        <v>6.6847826086956523</v>
      </c>
      <c r="G18" s="15">
        <v>0.88862590339114933</v>
      </c>
      <c r="H18" s="16">
        <v>5.7717391304347823</v>
      </c>
      <c r="I18" s="16">
        <v>3.0852476377341724</v>
      </c>
      <c r="J18" s="15">
        <v>5.0326086956521738</v>
      </c>
      <c r="K18" s="15">
        <v>2.9555352686644021</v>
      </c>
      <c r="L18" s="16">
        <v>4.25</v>
      </c>
      <c r="M18" s="16">
        <v>1.1253814981967298</v>
      </c>
      <c r="N18" s="16">
        <v>5</v>
      </c>
      <c r="O18" s="17">
        <v>0.3529411764705882</v>
      </c>
      <c r="P18" s="17">
        <v>0.70588235294117652</v>
      </c>
      <c r="Q18" s="17">
        <v>0.88235294117647045</v>
      </c>
      <c r="R18" s="16">
        <v>0.64705882352941169</v>
      </c>
      <c r="S18" s="17">
        <v>1.48</v>
      </c>
      <c r="T18" s="14">
        <f t="shared" si="0"/>
        <v>5</v>
      </c>
      <c r="U18" s="14">
        <f t="shared" si="1"/>
        <v>7</v>
      </c>
      <c r="V18" s="16">
        <v>0.4576271186440678</v>
      </c>
      <c r="W18" s="17">
        <v>0.43137254901960786</v>
      </c>
      <c r="X18" s="16">
        <v>0.7142857142857143</v>
      </c>
      <c r="Y18" s="14">
        <v>1</v>
      </c>
    </row>
    <row r="19" spans="1:25">
      <c r="A19" s="14" t="s">
        <v>15</v>
      </c>
      <c r="B19" s="14" t="s">
        <v>149</v>
      </c>
      <c r="C19" s="14" t="s">
        <v>185</v>
      </c>
      <c r="D19" s="15">
        <v>6.5</v>
      </c>
      <c r="E19" s="15">
        <v>0.85805811939736132</v>
      </c>
      <c r="F19" s="15">
        <v>4.0108695652173916</v>
      </c>
      <c r="G19" s="15">
        <v>2.24584874784221</v>
      </c>
      <c r="H19" s="16">
        <v>7.4673913043478262</v>
      </c>
      <c r="I19" s="16">
        <v>1.6736555171997671</v>
      </c>
      <c r="J19" s="15">
        <v>5.7173913043478262</v>
      </c>
      <c r="K19" s="15">
        <v>2.5433649379976209</v>
      </c>
      <c r="L19" s="16">
        <v>2.1413043478260869</v>
      </c>
      <c r="M19" s="16">
        <v>1.2973474353051986</v>
      </c>
      <c r="N19" s="16">
        <v>2</v>
      </c>
      <c r="O19" s="17">
        <v>0.11764705882352941</v>
      </c>
      <c r="P19" s="17">
        <v>0.52941176470588236</v>
      </c>
      <c r="Q19" s="17">
        <v>0.76470588235294112</v>
      </c>
      <c r="R19" s="16">
        <v>0.47058823529411759</v>
      </c>
      <c r="S19" s="17">
        <v>2.04</v>
      </c>
      <c r="T19" s="14">
        <f t="shared" si="0"/>
        <v>5</v>
      </c>
      <c r="U19" s="14">
        <f t="shared" si="1"/>
        <v>7</v>
      </c>
      <c r="V19" s="16">
        <v>0.3728813559322034</v>
      </c>
      <c r="W19" s="17">
        <v>0.47058823529411764</v>
      </c>
      <c r="X19" s="16">
        <v>0.32142857142857145</v>
      </c>
      <c r="Y19" s="14">
        <v>1</v>
      </c>
    </row>
    <row r="20" spans="1:25">
      <c r="A20" s="14" t="s">
        <v>23</v>
      </c>
      <c r="B20" s="14" t="s">
        <v>24</v>
      </c>
      <c r="C20" s="14" t="s">
        <v>186</v>
      </c>
      <c r="D20" s="15">
        <v>5.8260869565217392</v>
      </c>
      <c r="E20" s="15">
        <v>1.2457284876259933</v>
      </c>
      <c r="F20" s="15">
        <v>6.3586956521739131</v>
      </c>
      <c r="G20" s="15">
        <v>1.022618076571278</v>
      </c>
      <c r="H20" s="16">
        <v>5.0978260869565215</v>
      </c>
      <c r="I20" s="16">
        <v>1.437792742164838</v>
      </c>
      <c r="J20" s="15">
        <v>4.6956521739130439</v>
      </c>
      <c r="K20" s="15">
        <v>1.7524810069970322</v>
      </c>
      <c r="L20" s="16">
        <v>3.597826086956522</v>
      </c>
      <c r="M20" s="16">
        <v>1.47551281909443</v>
      </c>
      <c r="N20" s="16">
        <v>4</v>
      </c>
      <c r="O20" s="17">
        <v>0</v>
      </c>
      <c r="P20" s="17">
        <v>0.23529411764705888</v>
      </c>
      <c r="Q20" s="17">
        <v>0.52941176470588236</v>
      </c>
      <c r="R20" s="16">
        <v>0.25490196078431376</v>
      </c>
      <c r="S20" s="17">
        <v>0.92</v>
      </c>
      <c r="T20" s="14">
        <f t="shared" si="0"/>
        <v>4</v>
      </c>
      <c r="U20" s="14">
        <f t="shared" si="1"/>
        <v>4</v>
      </c>
      <c r="V20" s="16">
        <v>1.6949152542372881E-2</v>
      </c>
      <c r="W20" s="17">
        <v>0.13725490196078433</v>
      </c>
      <c r="X20" s="16">
        <v>0.5357142857142857</v>
      </c>
      <c r="Y20" s="14">
        <v>1</v>
      </c>
    </row>
    <row r="21" spans="1:25">
      <c r="A21" s="14" t="s">
        <v>91</v>
      </c>
      <c r="B21" s="14" t="s">
        <v>150</v>
      </c>
      <c r="C21" s="14" t="s">
        <v>187</v>
      </c>
      <c r="D21" s="15">
        <v>6.6413043478260869</v>
      </c>
      <c r="E21" s="15">
        <v>0.79256880644390937</v>
      </c>
      <c r="F21" s="15">
        <v>6.8260869565217392</v>
      </c>
      <c r="G21" s="15">
        <v>0.56663059757986434</v>
      </c>
      <c r="H21" s="16">
        <v>8.0326086956521738</v>
      </c>
      <c r="I21" s="16">
        <v>1.46348287687713</v>
      </c>
      <c r="J21" s="15">
        <v>2.3586956521739131</v>
      </c>
      <c r="K21" s="15">
        <v>2.2315496106061081</v>
      </c>
      <c r="L21" s="16">
        <v>2.8260869565217392</v>
      </c>
      <c r="M21" s="16">
        <v>1.5162757704770233</v>
      </c>
      <c r="N21" s="16">
        <v>3</v>
      </c>
      <c r="O21" s="17">
        <v>0</v>
      </c>
      <c r="P21" s="17">
        <v>0.52941176470588236</v>
      </c>
      <c r="Q21" s="17">
        <v>0.88235294117647045</v>
      </c>
      <c r="R21" s="16">
        <v>0.47058823529411759</v>
      </c>
      <c r="S21" s="17">
        <v>0.37</v>
      </c>
      <c r="T21" s="14">
        <f t="shared" si="0"/>
        <v>6</v>
      </c>
      <c r="U21" s="14">
        <f t="shared" si="1"/>
        <v>7</v>
      </c>
      <c r="V21" s="16">
        <v>0.11864406779661017</v>
      </c>
      <c r="W21" s="17">
        <v>0.43137254901960786</v>
      </c>
      <c r="X21" s="16">
        <v>0.35714285714285715</v>
      </c>
      <c r="Y21" s="14">
        <v>1</v>
      </c>
    </row>
    <row r="22" spans="1:25">
      <c r="A22" s="14" t="s">
        <v>118</v>
      </c>
      <c r="B22" s="14" t="s">
        <v>119</v>
      </c>
      <c r="C22" s="14" t="s">
        <v>188</v>
      </c>
      <c r="D22" s="15">
        <v>6.8695652173913047</v>
      </c>
      <c r="E22" s="15">
        <v>0.55899028485037072</v>
      </c>
      <c r="F22" s="15">
        <v>6.4673913043478262</v>
      </c>
      <c r="G22" s="15">
        <v>1.20849635894937</v>
      </c>
      <c r="H22" s="16">
        <v>8.2826086956521738</v>
      </c>
      <c r="I22" s="16">
        <v>1.424480525762005</v>
      </c>
      <c r="J22" s="15">
        <v>4.3804347826086953</v>
      </c>
      <c r="K22" s="15">
        <v>3.2270913358945155</v>
      </c>
      <c r="L22" s="16">
        <v>2.1739130434782608</v>
      </c>
      <c r="M22" s="16">
        <v>1.3796694591572631</v>
      </c>
      <c r="N22" s="16">
        <v>2</v>
      </c>
      <c r="O22" s="17">
        <v>0.10526315789473684</v>
      </c>
      <c r="P22" s="17">
        <v>0.42105263157894729</v>
      </c>
      <c r="Q22" s="17">
        <v>0.73684210526315785</v>
      </c>
      <c r="R22" s="16">
        <v>0.42105263157894735</v>
      </c>
      <c r="S22" s="17">
        <v>1.68</v>
      </c>
      <c r="T22" s="14">
        <f t="shared" si="0"/>
        <v>7</v>
      </c>
      <c r="U22" s="14">
        <f t="shared" si="1"/>
        <v>6</v>
      </c>
      <c r="V22" s="14"/>
      <c r="W22" s="14"/>
      <c r="X22" s="14"/>
      <c r="Y22" s="14">
        <v>0</v>
      </c>
    </row>
    <row r="23" spans="1:25">
      <c r="A23" s="14" t="s">
        <v>96</v>
      </c>
      <c r="B23" s="14" t="s">
        <v>97</v>
      </c>
      <c r="C23" s="14" t="s">
        <v>189</v>
      </c>
      <c r="D23" s="15">
        <v>5.6521739130434785</v>
      </c>
      <c r="E23" s="15">
        <v>1.3212945916764032</v>
      </c>
      <c r="F23" s="15">
        <v>6.4891304347826084</v>
      </c>
      <c r="G23" s="15">
        <v>1.0638367760594249</v>
      </c>
      <c r="H23" s="16">
        <v>5.2717391304347823</v>
      </c>
      <c r="I23" s="16">
        <v>1.5974104103552487</v>
      </c>
      <c r="J23" s="15">
        <v>5.3043478260869561</v>
      </c>
      <c r="K23" s="15">
        <v>2.0204402220492299</v>
      </c>
      <c r="L23" s="16">
        <v>3.9130434782608696</v>
      </c>
      <c r="M23" s="16">
        <v>1.3396093732182315</v>
      </c>
      <c r="N23" s="16">
        <v>4</v>
      </c>
      <c r="O23" s="17">
        <v>0.26315789473684209</v>
      </c>
      <c r="P23" s="17">
        <v>0.31578947368421056</v>
      </c>
      <c r="Q23" s="17">
        <v>0.42105263157894735</v>
      </c>
      <c r="R23" s="16">
        <v>0.33333333333333331</v>
      </c>
      <c r="S23" s="17">
        <v>1.1200000000000001</v>
      </c>
      <c r="T23" s="14">
        <f t="shared" si="0"/>
        <v>5</v>
      </c>
      <c r="U23" s="14">
        <f t="shared" si="1"/>
        <v>5</v>
      </c>
      <c r="V23" s="14"/>
      <c r="W23" s="14"/>
      <c r="X23" s="14"/>
      <c r="Y23" s="14">
        <v>0</v>
      </c>
    </row>
    <row r="24" spans="1:25" s="3" customFormat="1">
      <c r="A24" s="14" t="s">
        <v>92</v>
      </c>
      <c r="B24" s="14" t="s">
        <v>93</v>
      </c>
      <c r="C24" s="14" t="s">
        <v>190</v>
      </c>
      <c r="D24" s="15">
        <v>6.0760869565217392</v>
      </c>
      <c r="E24" s="15">
        <v>1.0611386756964281</v>
      </c>
      <c r="F24" s="15">
        <v>6.6195652173913047</v>
      </c>
      <c r="G24" s="15">
        <v>0.83656008506247237</v>
      </c>
      <c r="H24" s="16">
        <v>6.6521739130434785</v>
      </c>
      <c r="I24" s="16">
        <v>1.6801019239666355</v>
      </c>
      <c r="J24" s="15">
        <v>3.3586956521739131</v>
      </c>
      <c r="K24" s="15">
        <v>1.8131480833866218</v>
      </c>
      <c r="L24" s="16">
        <v>3.4130434782608696</v>
      </c>
      <c r="M24" s="16">
        <v>1.4536968705667153</v>
      </c>
      <c r="N24" s="16">
        <v>4</v>
      </c>
      <c r="O24" s="17">
        <v>0.15789473684210525</v>
      </c>
      <c r="P24" s="17">
        <v>0.47368421052631576</v>
      </c>
      <c r="Q24" s="17">
        <v>0.63157894736842113</v>
      </c>
      <c r="R24" s="16">
        <v>0.42105263157894735</v>
      </c>
      <c r="S24" s="17">
        <v>0.73</v>
      </c>
      <c r="T24" s="14">
        <f t="shared" si="0"/>
        <v>5</v>
      </c>
      <c r="U24" s="14">
        <f t="shared" si="1"/>
        <v>7</v>
      </c>
      <c r="V24" s="14"/>
      <c r="W24" s="14"/>
      <c r="X24" s="14"/>
      <c r="Y24" s="14">
        <v>0</v>
      </c>
    </row>
    <row r="25" spans="1:25">
      <c r="A25" s="14" t="s">
        <v>33</v>
      </c>
      <c r="B25" s="14" t="s">
        <v>34</v>
      </c>
      <c r="C25" s="14" t="s">
        <v>191</v>
      </c>
      <c r="D25" s="15">
        <v>5.9782608695652177</v>
      </c>
      <c r="E25" s="15">
        <v>1.2132805485298914</v>
      </c>
      <c r="F25" s="15">
        <v>3.5</v>
      </c>
      <c r="G25" s="15">
        <v>2.2507629963934597</v>
      </c>
      <c r="H25" s="16">
        <v>5.75</v>
      </c>
      <c r="I25" s="16">
        <v>1.6747970190279939</v>
      </c>
      <c r="J25" s="15">
        <v>4.8369565217391308</v>
      </c>
      <c r="K25" s="15">
        <v>1.9458446789434105</v>
      </c>
      <c r="L25" s="16">
        <v>3.9347826086956523</v>
      </c>
      <c r="M25" s="16">
        <v>1.2562314813119733</v>
      </c>
      <c r="N25" s="16">
        <v>4</v>
      </c>
      <c r="O25" s="17">
        <v>0.10526315789473684</v>
      </c>
      <c r="P25" s="17">
        <v>0.36842105263157893</v>
      </c>
      <c r="Q25" s="17">
        <v>0.42105263157894729</v>
      </c>
      <c r="R25" s="16">
        <v>0.2982456140350877</v>
      </c>
      <c r="S25" s="17">
        <v>1.23</v>
      </c>
      <c r="T25" s="14">
        <f t="shared" si="0"/>
        <v>7</v>
      </c>
      <c r="U25" s="14">
        <f t="shared" si="1"/>
        <v>7</v>
      </c>
      <c r="V25" s="14"/>
      <c r="W25" s="14"/>
      <c r="X25" s="14"/>
      <c r="Y25" s="14">
        <v>0</v>
      </c>
    </row>
    <row r="26" spans="1:25">
      <c r="A26" s="14" t="s">
        <v>16</v>
      </c>
      <c r="B26" s="14" t="s">
        <v>151</v>
      </c>
      <c r="C26" s="14" t="s">
        <v>192</v>
      </c>
      <c r="D26" s="15">
        <v>5.3913043478260869</v>
      </c>
      <c r="E26" s="15">
        <v>1.496931085783606</v>
      </c>
      <c r="F26" s="15">
        <v>4.8043478260869561</v>
      </c>
      <c r="G26" s="15">
        <v>2.0231578539163353</v>
      </c>
      <c r="H26" s="16">
        <v>2.3913043478260869</v>
      </c>
      <c r="I26" s="16">
        <v>1.7910431716232447</v>
      </c>
      <c r="J26" s="15">
        <v>6.7173913043478262</v>
      </c>
      <c r="K26" s="15">
        <v>1.9404660534363734</v>
      </c>
      <c r="L26" s="16">
        <v>1.8913043478260869</v>
      </c>
      <c r="M26" s="16">
        <v>1.2085457771079686</v>
      </c>
      <c r="N26" s="16">
        <v>1</v>
      </c>
      <c r="O26" s="17">
        <v>0.10526315789473684</v>
      </c>
      <c r="P26" s="17">
        <v>0.47368421052631576</v>
      </c>
      <c r="Q26" s="17">
        <v>0.47368421052631576</v>
      </c>
      <c r="R26" s="16">
        <v>0.35087719298245612</v>
      </c>
      <c r="S26" s="17">
        <v>0.99</v>
      </c>
      <c r="T26" s="14">
        <f t="shared" si="0"/>
        <v>6</v>
      </c>
      <c r="U26" s="14">
        <f t="shared" si="1"/>
        <v>8</v>
      </c>
      <c r="V26" s="14"/>
      <c r="W26" s="14"/>
      <c r="X26" s="14"/>
      <c r="Y26" s="14">
        <v>0</v>
      </c>
    </row>
    <row r="27" spans="1:25" s="3" customFormat="1">
      <c r="A27" s="14" t="s">
        <v>73</v>
      </c>
      <c r="B27" s="14" t="s">
        <v>74</v>
      </c>
      <c r="C27" s="14" t="s">
        <v>193</v>
      </c>
      <c r="D27" s="15">
        <v>6.3695652173913047</v>
      </c>
      <c r="E27" s="15">
        <v>0.93429636571949382</v>
      </c>
      <c r="F27" s="15">
        <v>3.6195652173913042</v>
      </c>
      <c r="G27" s="15">
        <v>2.1321319429326082</v>
      </c>
      <c r="H27" s="16">
        <v>4.7065217391304346</v>
      </c>
      <c r="I27" s="16">
        <v>2.135714325662704</v>
      </c>
      <c r="J27" s="15">
        <v>6.2173913043478262</v>
      </c>
      <c r="K27" s="15">
        <v>2.0851441405707476</v>
      </c>
      <c r="L27" s="16">
        <v>1.2608695652173914</v>
      </c>
      <c r="M27" s="16">
        <v>0.72429678237146333</v>
      </c>
      <c r="N27" s="16">
        <v>1</v>
      </c>
      <c r="O27" s="17">
        <v>5.2631578947368418E-2</v>
      </c>
      <c r="P27" s="17">
        <v>0.26315789473684215</v>
      </c>
      <c r="Q27" s="17">
        <v>0.47368421052631576</v>
      </c>
      <c r="R27" s="16">
        <v>0.26315789473684209</v>
      </c>
      <c r="S27" s="17">
        <v>2.44</v>
      </c>
      <c r="T27" s="14">
        <f t="shared" si="0"/>
        <v>8</v>
      </c>
      <c r="U27" s="14">
        <f t="shared" si="1"/>
        <v>8</v>
      </c>
      <c r="V27" s="16">
        <v>0.55932203389830504</v>
      </c>
      <c r="W27" s="17">
        <v>0.45098039215686275</v>
      </c>
      <c r="X27" s="16">
        <v>0.5357142857142857</v>
      </c>
      <c r="Y27" s="14">
        <v>1</v>
      </c>
    </row>
    <row r="28" spans="1:25">
      <c r="A28" s="14" t="s">
        <v>122</v>
      </c>
      <c r="B28" s="14" t="s">
        <v>123</v>
      </c>
      <c r="C28" s="14" t="s">
        <v>194</v>
      </c>
      <c r="D28" s="15">
        <v>5.0543478260869561</v>
      </c>
      <c r="E28" s="15">
        <v>1.5574290623591607</v>
      </c>
      <c r="F28" s="15">
        <v>5.8478260869565215</v>
      </c>
      <c r="G28" s="15">
        <v>1.4745815767751682</v>
      </c>
      <c r="H28" s="16">
        <v>1.9347826086956521</v>
      </c>
      <c r="I28" s="16">
        <v>1.808431703699912</v>
      </c>
      <c r="J28" s="15">
        <v>7.4456521739130439</v>
      </c>
      <c r="K28" s="15">
        <v>1.7248292187145613</v>
      </c>
      <c r="L28" s="16">
        <v>1.6304347826086956</v>
      </c>
      <c r="M28" s="16">
        <v>1.0557783577791777</v>
      </c>
      <c r="N28" s="16">
        <v>1</v>
      </c>
      <c r="O28" s="17">
        <v>5.8823529411764712E-2</v>
      </c>
      <c r="P28" s="17">
        <v>0.23529411764705882</v>
      </c>
      <c r="Q28" s="17">
        <v>0.6470588235294118</v>
      </c>
      <c r="R28" s="16">
        <v>0.31372549019607843</v>
      </c>
      <c r="S28" s="17">
        <v>0.68</v>
      </c>
      <c r="T28" s="14">
        <f t="shared" si="0"/>
        <v>7</v>
      </c>
      <c r="U28" s="14">
        <f t="shared" si="1"/>
        <v>8</v>
      </c>
      <c r="V28" s="14"/>
      <c r="W28" s="14"/>
      <c r="X28" s="14"/>
      <c r="Y28" s="14">
        <v>0</v>
      </c>
    </row>
    <row r="29" spans="1:25">
      <c r="A29" s="14" t="s">
        <v>56</v>
      </c>
      <c r="B29" s="14" t="s">
        <v>57</v>
      </c>
      <c r="C29" s="14" t="s">
        <v>57</v>
      </c>
      <c r="D29" s="15">
        <v>5.3913043478260869</v>
      </c>
      <c r="E29" s="15">
        <v>1.5403476255226991</v>
      </c>
      <c r="F29" s="15">
        <v>6.5326086956521738</v>
      </c>
      <c r="G29" s="15">
        <v>1.0838584611837465</v>
      </c>
      <c r="H29" s="16">
        <v>5.75</v>
      </c>
      <c r="I29" s="16">
        <v>1.6549957670673932</v>
      </c>
      <c r="J29" s="15">
        <v>4.1847826086956523</v>
      </c>
      <c r="K29" s="15">
        <v>1.9268453283163802</v>
      </c>
      <c r="L29" s="16">
        <v>2.0108695652173911</v>
      </c>
      <c r="M29" s="16">
        <v>1.4102806611591074</v>
      </c>
      <c r="N29" s="16">
        <v>1</v>
      </c>
      <c r="O29" s="17">
        <v>0.10526315789473685</v>
      </c>
      <c r="P29" s="17">
        <v>0.21052631578947367</v>
      </c>
      <c r="Q29" s="17">
        <v>0.31578947368421056</v>
      </c>
      <c r="R29" s="16">
        <v>0.21052631578947367</v>
      </c>
      <c r="S29" s="17">
        <v>0.63</v>
      </c>
      <c r="T29" s="14">
        <f t="shared" si="0"/>
        <v>7</v>
      </c>
      <c r="U29" s="14">
        <f t="shared" si="1"/>
        <v>8</v>
      </c>
      <c r="V29" s="16">
        <v>3.3898305084745763E-2</v>
      </c>
      <c r="W29" s="17">
        <v>0.21568627450980393</v>
      </c>
      <c r="X29" s="16">
        <v>0.2857142857142857</v>
      </c>
      <c r="Y29" s="14">
        <v>1</v>
      </c>
    </row>
    <row r="30" spans="1:25" s="3" customFormat="1">
      <c r="A30" s="14" t="s">
        <v>142</v>
      </c>
      <c r="B30" s="14" t="s">
        <v>143</v>
      </c>
      <c r="C30" s="14" t="s">
        <v>195</v>
      </c>
      <c r="D30" s="15">
        <v>4.6195652173913047</v>
      </c>
      <c r="E30" s="15">
        <v>1.7841942885897311</v>
      </c>
      <c r="F30" s="15">
        <v>5.8586956521739131</v>
      </c>
      <c r="G30" s="15">
        <v>1.7452070738254359</v>
      </c>
      <c r="H30" s="16">
        <v>2.402173913043478</v>
      </c>
      <c r="I30" s="16">
        <v>1.9332815728060804</v>
      </c>
      <c r="J30" s="15">
        <v>6.1304347826086953</v>
      </c>
      <c r="K30" s="15">
        <v>2.0977088040214689</v>
      </c>
      <c r="L30" s="16">
        <v>2.2065217391304346</v>
      </c>
      <c r="M30" s="16">
        <v>1.3711152393297279</v>
      </c>
      <c r="N30" s="16">
        <v>2</v>
      </c>
      <c r="O30" s="17">
        <v>0.10526315789473686</v>
      </c>
      <c r="P30" s="17">
        <v>0.15789473684210531</v>
      </c>
      <c r="Q30" s="17">
        <v>0.47368421052631571</v>
      </c>
      <c r="R30" s="16">
        <v>0.24561403508771928</v>
      </c>
      <c r="S30" s="17">
        <v>-0.25</v>
      </c>
      <c r="T30" s="14">
        <f t="shared" si="0"/>
        <v>6</v>
      </c>
      <c r="U30" s="14">
        <f t="shared" si="1"/>
        <v>7</v>
      </c>
      <c r="V30" s="16">
        <v>0</v>
      </c>
      <c r="W30" s="17">
        <v>0.13725490196078433</v>
      </c>
      <c r="X30" s="16">
        <v>0.32142857142857145</v>
      </c>
      <c r="Y30" s="14">
        <v>1</v>
      </c>
    </row>
    <row r="31" spans="1:25">
      <c r="A31" s="14" t="s">
        <v>140</v>
      </c>
      <c r="B31" s="14" t="s">
        <v>141</v>
      </c>
      <c r="C31" s="14" t="s">
        <v>196</v>
      </c>
      <c r="D31" s="15">
        <v>6.1521739130434785</v>
      </c>
      <c r="E31" s="15">
        <v>1.2486017023775542</v>
      </c>
      <c r="F31" s="15">
        <v>5.9782608695652177</v>
      </c>
      <c r="G31" s="15">
        <v>1.6506958963383433</v>
      </c>
      <c r="H31" s="16">
        <v>2.5434782608695654</v>
      </c>
      <c r="I31" s="16">
        <v>1.5436010664253474</v>
      </c>
      <c r="J31" s="15">
        <v>6.8260869565217392</v>
      </c>
      <c r="K31" s="15">
        <v>2.0997576817399199</v>
      </c>
      <c r="L31" s="16">
        <v>2.6086956521739131</v>
      </c>
      <c r="M31" s="16">
        <v>1.643879903497742</v>
      </c>
      <c r="N31" s="16">
        <v>2</v>
      </c>
      <c r="O31" s="17">
        <v>5.8823529411764719E-2</v>
      </c>
      <c r="P31" s="17">
        <v>0.1764705882352941</v>
      </c>
      <c r="Q31" s="17">
        <v>0.41176470588235292</v>
      </c>
      <c r="R31" s="16">
        <v>0.2156862745098039</v>
      </c>
      <c r="S31" s="17">
        <v>1.08</v>
      </c>
      <c r="T31" s="14">
        <f t="shared" si="0"/>
        <v>5</v>
      </c>
      <c r="U31" s="14">
        <f t="shared" si="1"/>
        <v>6</v>
      </c>
      <c r="V31" s="16">
        <v>0</v>
      </c>
      <c r="W31" s="17">
        <v>0.17647058823529413</v>
      </c>
      <c r="X31" s="16">
        <v>0.32142857142857145</v>
      </c>
      <c r="Y31" s="14">
        <v>1</v>
      </c>
    </row>
    <row r="32" spans="1:25">
      <c r="A32" s="14" t="s">
        <v>130</v>
      </c>
      <c r="B32" s="14" t="s">
        <v>131</v>
      </c>
      <c r="C32" s="14" t="s">
        <v>197</v>
      </c>
      <c r="D32" s="15">
        <v>5.6739130434782608</v>
      </c>
      <c r="E32" s="15">
        <v>1.3915656109211414</v>
      </c>
      <c r="F32" s="15">
        <v>5.6521739130434785</v>
      </c>
      <c r="G32" s="15">
        <v>1.6866299229215673</v>
      </c>
      <c r="H32" s="16">
        <v>2.0217391304347827</v>
      </c>
      <c r="I32" s="16">
        <v>1.4371695386583963</v>
      </c>
      <c r="J32" s="15">
        <v>6.9347826086956523</v>
      </c>
      <c r="K32" s="15">
        <v>1.9375091510657312</v>
      </c>
      <c r="L32" s="16">
        <v>1.9021739130434783</v>
      </c>
      <c r="M32" s="16">
        <v>1.2497013498941967</v>
      </c>
      <c r="N32" s="16">
        <v>1</v>
      </c>
      <c r="O32" s="17">
        <v>5.8823529411764712E-2</v>
      </c>
      <c r="P32" s="17">
        <v>0.29411764705882354</v>
      </c>
      <c r="Q32" s="17">
        <v>0.47058823529411764</v>
      </c>
      <c r="R32" s="16">
        <v>0.2745098039215686</v>
      </c>
      <c r="S32" s="17">
        <v>1.1299999999999999</v>
      </c>
      <c r="T32" s="14">
        <f t="shared" si="0"/>
        <v>6</v>
      </c>
      <c r="U32" s="14">
        <f t="shared" si="1"/>
        <v>6</v>
      </c>
      <c r="V32" s="16">
        <v>1.6949152542372881E-2</v>
      </c>
      <c r="W32" s="17">
        <v>0.19607843137254902</v>
      </c>
      <c r="X32" s="16">
        <v>0.32142857142857145</v>
      </c>
      <c r="Y32" s="14">
        <v>1</v>
      </c>
    </row>
    <row r="33" spans="1:25">
      <c r="A33" s="14" t="s">
        <v>19</v>
      </c>
      <c r="B33" s="14" t="s">
        <v>20</v>
      </c>
      <c r="C33" s="14" t="s">
        <v>198</v>
      </c>
      <c r="D33" s="15">
        <v>6.4347826086956523</v>
      </c>
      <c r="E33" s="15">
        <v>0.91752591155538399</v>
      </c>
      <c r="F33" s="15">
        <v>6.5326086956521738</v>
      </c>
      <c r="G33" s="15">
        <v>0.97722512457436284</v>
      </c>
      <c r="H33" s="16">
        <v>6.8260869565217392</v>
      </c>
      <c r="I33" s="16">
        <v>1.6348451259254089</v>
      </c>
      <c r="J33" s="15">
        <v>3.8043478260869565</v>
      </c>
      <c r="K33" s="15">
        <v>2.3263381139775605</v>
      </c>
      <c r="L33" s="16">
        <v>2.6847826086956523</v>
      </c>
      <c r="M33" s="16">
        <v>1.6099235380525179</v>
      </c>
      <c r="N33" s="16">
        <v>2.5</v>
      </c>
      <c r="O33" s="17">
        <v>5.2631578947368418E-2</v>
      </c>
      <c r="P33" s="17">
        <v>0.47368421052631571</v>
      </c>
      <c r="Q33" s="17">
        <v>0.63157894736842113</v>
      </c>
      <c r="R33" s="16">
        <v>0.38596491228070179</v>
      </c>
      <c r="S33" s="17">
        <v>3.08</v>
      </c>
      <c r="T33" s="14">
        <f t="shared" si="0"/>
        <v>4</v>
      </c>
      <c r="U33" s="14">
        <f t="shared" si="1"/>
        <v>5</v>
      </c>
      <c r="V33" s="14"/>
      <c r="W33" s="14"/>
      <c r="X33" s="14"/>
      <c r="Y33" s="14">
        <v>0</v>
      </c>
    </row>
    <row r="34" spans="1:25" s="3" customFormat="1">
      <c r="A34" s="14" t="s">
        <v>138</v>
      </c>
      <c r="B34" s="14" t="s">
        <v>139</v>
      </c>
      <c r="C34" s="14" t="s">
        <v>199</v>
      </c>
      <c r="D34" s="15">
        <v>6.3369565217391308</v>
      </c>
      <c r="E34" s="15">
        <v>0.92910418764283986</v>
      </c>
      <c r="F34" s="15">
        <v>6.5869565217391308</v>
      </c>
      <c r="G34" s="15">
        <v>0.90362121200875134</v>
      </c>
      <c r="H34" s="16">
        <v>6.3913043478260869</v>
      </c>
      <c r="I34" s="16">
        <v>1.5616033021825624</v>
      </c>
      <c r="J34" s="15">
        <v>5.0326086956521738</v>
      </c>
      <c r="K34" s="15">
        <v>2.093690610541779</v>
      </c>
      <c r="L34" s="16">
        <v>3</v>
      </c>
      <c r="M34" s="16">
        <v>1.6374732612530445</v>
      </c>
      <c r="N34" s="16">
        <v>3</v>
      </c>
      <c r="O34" s="17">
        <v>5.2631578947368418E-2</v>
      </c>
      <c r="P34" s="17">
        <v>0.36842105263157893</v>
      </c>
      <c r="Q34" s="17">
        <v>0.52631578947368418</v>
      </c>
      <c r="R34" s="16">
        <v>0.31578947368421051</v>
      </c>
      <c r="S34" s="17">
        <v>0.91</v>
      </c>
      <c r="T34" s="14">
        <f t="shared" ref="T34:T65" si="2">LEN(A34)</f>
        <v>4</v>
      </c>
      <c r="U34" s="14">
        <f t="shared" ref="U34:U65" si="3">LEN(B34)</f>
        <v>5</v>
      </c>
      <c r="V34" s="14"/>
      <c r="W34" s="14"/>
      <c r="X34" s="14"/>
      <c r="Y34" s="14">
        <v>0</v>
      </c>
    </row>
    <row r="35" spans="1:25" s="3" customFormat="1">
      <c r="A35" s="14" t="s">
        <v>113</v>
      </c>
      <c r="B35" s="14" t="s">
        <v>152</v>
      </c>
      <c r="C35" s="14" t="s">
        <v>200</v>
      </c>
      <c r="D35" s="15">
        <v>6.3478260869565215</v>
      </c>
      <c r="E35" s="15">
        <v>1.0836931422523359</v>
      </c>
      <c r="F35" s="15">
        <v>3.902173913043478</v>
      </c>
      <c r="G35" s="15">
        <v>2.2190968492980967</v>
      </c>
      <c r="H35" s="16">
        <v>6.8586956521739131</v>
      </c>
      <c r="I35" s="16">
        <v>1.7639959740499427</v>
      </c>
      <c r="J35" s="15">
        <v>5.0326086956521738</v>
      </c>
      <c r="K35" s="15">
        <v>2.6078962383985345</v>
      </c>
      <c r="L35" s="16">
        <v>1.5326086956521738</v>
      </c>
      <c r="M35" s="16">
        <v>1.010397451517691</v>
      </c>
      <c r="N35" s="16">
        <v>1</v>
      </c>
      <c r="O35" s="17">
        <v>5.2631578947368418E-2</v>
      </c>
      <c r="P35" s="17">
        <v>0.26315789473684209</v>
      </c>
      <c r="Q35" s="17">
        <v>0.52631578947368418</v>
      </c>
      <c r="R35" s="16">
        <v>0.2807017543859649</v>
      </c>
      <c r="S35" s="17">
        <v>2.6</v>
      </c>
      <c r="T35" s="14">
        <f t="shared" si="2"/>
        <v>7</v>
      </c>
      <c r="U35" s="14">
        <f t="shared" si="3"/>
        <v>8</v>
      </c>
      <c r="V35" s="16">
        <v>0.15254237288135594</v>
      </c>
      <c r="W35" s="17">
        <v>0.41176470588235292</v>
      </c>
      <c r="X35" s="16">
        <v>0.5</v>
      </c>
      <c r="Y35" s="14">
        <v>1</v>
      </c>
    </row>
    <row r="36" spans="1:25" s="3" customFormat="1">
      <c r="A36" s="14" t="s">
        <v>11</v>
      </c>
      <c r="B36" s="14" t="s">
        <v>12</v>
      </c>
      <c r="C36" s="14" t="s">
        <v>201</v>
      </c>
      <c r="D36" s="15">
        <v>5.5543478260869561</v>
      </c>
      <c r="E36" s="15">
        <v>1.3856734026409068</v>
      </c>
      <c r="F36" s="15">
        <v>3.0652173913043477</v>
      </c>
      <c r="G36" s="15">
        <v>2.3384241327759949</v>
      </c>
      <c r="H36" s="16">
        <v>7.0326086956521738</v>
      </c>
      <c r="I36" s="16">
        <v>2.0297300581443185</v>
      </c>
      <c r="J36" s="15">
        <v>5.0326086956521738</v>
      </c>
      <c r="K36" s="15">
        <v>2.6826716507723454</v>
      </c>
      <c r="L36" s="16">
        <v>2.1304347826086958</v>
      </c>
      <c r="M36" s="16">
        <v>1.3604894990475425</v>
      </c>
      <c r="N36" s="16">
        <v>1.5</v>
      </c>
      <c r="O36" s="17">
        <v>0.26315789473684215</v>
      </c>
      <c r="P36" s="17">
        <v>0.4210526315789474</v>
      </c>
      <c r="Q36" s="17">
        <v>0.57894736842105265</v>
      </c>
      <c r="R36" s="16">
        <v>0.4210526315789474</v>
      </c>
      <c r="S36" s="17">
        <v>1.38</v>
      </c>
      <c r="T36" s="14">
        <f t="shared" si="2"/>
        <v>6</v>
      </c>
      <c r="U36" s="14">
        <f t="shared" si="3"/>
        <v>5</v>
      </c>
      <c r="V36" s="14"/>
      <c r="W36" s="14"/>
      <c r="X36" s="14"/>
      <c r="Y36" s="14">
        <v>0</v>
      </c>
    </row>
    <row r="37" spans="1:25">
      <c r="A37" s="14" t="s">
        <v>94</v>
      </c>
      <c r="B37" s="14" t="s">
        <v>95</v>
      </c>
      <c r="C37" s="14" t="s">
        <v>202</v>
      </c>
      <c r="D37" s="15">
        <v>5.7717391304347823</v>
      </c>
      <c r="E37" s="15">
        <v>1.3595673266942763</v>
      </c>
      <c r="F37" s="15">
        <v>4.1739130434782608</v>
      </c>
      <c r="G37" s="15">
        <v>2.2610349456216956</v>
      </c>
      <c r="H37" s="16">
        <v>1.8804347826086956</v>
      </c>
      <c r="I37" s="16">
        <v>1.5537433797784777</v>
      </c>
      <c r="J37" s="15">
        <v>7.5543478260869561</v>
      </c>
      <c r="K37" s="15">
        <v>1.7626411902595536</v>
      </c>
      <c r="L37" s="16">
        <v>1.8043478260869565</v>
      </c>
      <c r="M37" s="16">
        <v>1.0817073443341461</v>
      </c>
      <c r="N37" s="16">
        <v>1</v>
      </c>
      <c r="O37" s="17">
        <v>0</v>
      </c>
      <c r="P37" s="17">
        <v>0.58823529411764708</v>
      </c>
      <c r="Q37" s="17">
        <v>0.70588235294117652</v>
      </c>
      <c r="R37" s="16">
        <v>0.43137254901960786</v>
      </c>
      <c r="S37" s="17">
        <v>1.44</v>
      </c>
      <c r="T37" s="14">
        <f t="shared" si="2"/>
        <v>4</v>
      </c>
      <c r="U37" s="14">
        <f t="shared" si="3"/>
        <v>7</v>
      </c>
      <c r="V37" s="14"/>
      <c r="W37" s="14"/>
      <c r="X37" s="14"/>
      <c r="Y37" s="14">
        <v>0</v>
      </c>
    </row>
    <row r="38" spans="1:25">
      <c r="A38" s="14" t="s">
        <v>17</v>
      </c>
      <c r="B38" s="14" t="s">
        <v>18</v>
      </c>
      <c r="C38" s="14" t="s">
        <v>203</v>
      </c>
      <c r="D38" s="15">
        <v>6.0978260869565215</v>
      </c>
      <c r="E38" s="15">
        <v>1.1865527000859359</v>
      </c>
      <c r="F38" s="15">
        <v>6.3478260869565215</v>
      </c>
      <c r="G38" s="15">
        <v>1.052832731553629</v>
      </c>
      <c r="H38" s="16">
        <v>7.9891304347826084</v>
      </c>
      <c r="I38" s="16">
        <v>1.3300794425368561</v>
      </c>
      <c r="J38" s="15">
        <v>2.5869565217391304</v>
      </c>
      <c r="K38" s="15">
        <v>2.2441727907120663</v>
      </c>
      <c r="L38" s="16">
        <v>2.1956521739130435</v>
      </c>
      <c r="M38" s="16">
        <v>1.3279673837082837</v>
      </c>
      <c r="N38" s="16">
        <v>2</v>
      </c>
      <c r="O38" s="17">
        <v>0</v>
      </c>
      <c r="P38" s="17">
        <v>0.26315789473684215</v>
      </c>
      <c r="Q38" s="17">
        <v>0.52631578947368418</v>
      </c>
      <c r="R38" s="16">
        <v>0.26315789473684209</v>
      </c>
      <c r="S38" s="17">
        <v>1.85</v>
      </c>
      <c r="T38" s="14">
        <f t="shared" si="2"/>
        <v>7</v>
      </c>
      <c r="U38" s="14">
        <f t="shared" si="3"/>
        <v>6</v>
      </c>
      <c r="V38" s="16">
        <v>0.3559322033898305</v>
      </c>
      <c r="W38" s="17">
        <v>0.39215686274509803</v>
      </c>
      <c r="X38" s="16">
        <v>0.4642857142857143</v>
      </c>
      <c r="Y38" s="14">
        <v>1</v>
      </c>
    </row>
    <row r="39" spans="1:25">
      <c r="A39" s="14" t="s">
        <v>128</v>
      </c>
      <c r="B39" s="14" t="s">
        <v>129</v>
      </c>
      <c r="C39" s="14" t="s">
        <v>204</v>
      </c>
      <c r="D39" s="15">
        <v>6.1521739130434785</v>
      </c>
      <c r="E39" s="15">
        <v>1.2486017023775542</v>
      </c>
      <c r="F39" s="15">
        <v>6.7391304347826084</v>
      </c>
      <c r="G39" s="15">
        <v>0.78263523870686202</v>
      </c>
      <c r="H39" s="16">
        <v>5.6956521739130439</v>
      </c>
      <c r="I39" s="16">
        <v>1.7144449679173717</v>
      </c>
      <c r="J39" s="15">
        <v>4.6086956521739131</v>
      </c>
      <c r="K39" s="15">
        <v>1.932694536156911</v>
      </c>
      <c r="L39" s="16">
        <v>2.8369565217391304</v>
      </c>
      <c r="M39" s="16">
        <v>1.5778492380037732</v>
      </c>
      <c r="N39" s="16">
        <v>3</v>
      </c>
      <c r="O39" s="17">
        <v>0.3529411764705882</v>
      </c>
      <c r="P39" s="17">
        <v>0.47058823529411775</v>
      </c>
      <c r="Q39" s="17">
        <v>0.70588235294117652</v>
      </c>
      <c r="R39" s="16">
        <v>0.50980392156862753</v>
      </c>
      <c r="S39" s="17">
        <v>1.35</v>
      </c>
      <c r="T39" s="14">
        <f t="shared" si="2"/>
        <v>4</v>
      </c>
      <c r="U39" s="14">
        <f t="shared" si="3"/>
        <v>6</v>
      </c>
      <c r="V39" s="16">
        <v>0.47457627118644069</v>
      </c>
      <c r="W39" s="17">
        <v>0.60784313725490191</v>
      </c>
      <c r="X39" s="16">
        <v>0.5714285714285714</v>
      </c>
      <c r="Y39" s="14">
        <v>1</v>
      </c>
    </row>
    <row r="40" spans="1:25">
      <c r="A40" s="14" t="s">
        <v>48</v>
      </c>
      <c r="B40" s="14" t="s">
        <v>49</v>
      </c>
      <c r="C40" s="14" t="s">
        <v>205</v>
      </c>
      <c r="D40" s="15">
        <v>5.3152173913043477</v>
      </c>
      <c r="E40" s="15">
        <v>1.4291267434783343</v>
      </c>
      <c r="F40" s="15">
        <v>3.7282608695652173</v>
      </c>
      <c r="G40" s="15">
        <v>2.2193121440522283</v>
      </c>
      <c r="H40" s="16">
        <v>5.6521739130434785</v>
      </c>
      <c r="I40" s="16">
        <v>1.9068112880154666</v>
      </c>
      <c r="J40" s="15">
        <v>5.5108695652173916</v>
      </c>
      <c r="K40" s="15">
        <v>1.9695180713436622</v>
      </c>
      <c r="L40" s="16">
        <v>2.2065217391304346</v>
      </c>
      <c r="M40" s="16">
        <v>1.4790704199646902</v>
      </c>
      <c r="N40" s="16">
        <v>1</v>
      </c>
      <c r="O40" s="17">
        <v>0.15789473684210528</v>
      </c>
      <c r="P40" s="17">
        <v>0.26315789473684215</v>
      </c>
      <c r="Q40" s="17">
        <v>0.31578947368421056</v>
      </c>
      <c r="R40" s="16">
        <v>0.24561403508771931</v>
      </c>
      <c r="S40" s="17">
        <v>0.63</v>
      </c>
      <c r="T40" s="14">
        <f t="shared" si="2"/>
        <v>6</v>
      </c>
      <c r="U40" s="14">
        <f t="shared" si="3"/>
        <v>9</v>
      </c>
      <c r="V40" s="16">
        <v>0.15254237288135594</v>
      </c>
      <c r="W40" s="17">
        <v>0.25490196078431371</v>
      </c>
      <c r="X40" s="16">
        <v>0.35714285714285715</v>
      </c>
      <c r="Y40" s="14">
        <v>1</v>
      </c>
    </row>
    <row r="41" spans="1:25">
      <c r="A41" s="14" t="s">
        <v>120</v>
      </c>
      <c r="B41" s="14" t="s">
        <v>121</v>
      </c>
      <c r="C41" s="14" t="s">
        <v>206</v>
      </c>
      <c r="D41" s="15">
        <v>5.9891304347826084</v>
      </c>
      <c r="E41" s="15">
        <v>1.1338407471698417</v>
      </c>
      <c r="F41" s="15">
        <v>6.3913043478260869</v>
      </c>
      <c r="G41" s="15">
        <v>1.1479223634498819</v>
      </c>
      <c r="H41" s="16">
        <v>7.3043478260869561</v>
      </c>
      <c r="I41" s="16">
        <v>1.5879984667608407</v>
      </c>
      <c r="J41" s="15">
        <v>3.2934782608695654</v>
      </c>
      <c r="K41" s="15">
        <v>2.2992499659923067</v>
      </c>
      <c r="L41" s="16">
        <v>1.7391304347826086</v>
      </c>
      <c r="M41" s="16">
        <v>1.2913028195627849</v>
      </c>
      <c r="N41" s="16">
        <v>1</v>
      </c>
      <c r="O41" s="17">
        <v>0.10526315789473684</v>
      </c>
      <c r="P41" s="17">
        <v>0.31578947368421056</v>
      </c>
      <c r="Q41" s="17">
        <v>0.42105263157894735</v>
      </c>
      <c r="R41" s="16">
        <v>0.2807017543859649</v>
      </c>
      <c r="S41" s="17">
        <v>1.43</v>
      </c>
      <c r="T41" s="14">
        <f t="shared" si="2"/>
        <v>4</v>
      </c>
      <c r="U41" s="14">
        <f t="shared" si="3"/>
        <v>4</v>
      </c>
      <c r="V41" s="16">
        <v>0.25423728813559321</v>
      </c>
      <c r="W41" s="17">
        <v>0.31372549019607843</v>
      </c>
      <c r="X41" s="16">
        <v>0.42857142857142855</v>
      </c>
      <c r="Y41" s="14">
        <v>1</v>
      </c>
    </row>
    <row r="42" spans="1:25">
      <c r="A42" s="14" t="s">
        <v>26</v>
      </c>
      <c r="B42" s="14" t="s">
        <v>27</v>
      </c>
      <c r="C42" s="14" t="s">
        <v>207</v>
      </c>
      <c r="D42" s="15">
        <v>5.0760869565217392</v>
      </c>
      <c r="E42" s="15">
        <v>1.4543129917833224</v>
      </c>
      <c r="F42" s="15">
        <v>6.4130434782608692</v>
      </c>
      <c r="G42" s="15">
        <v>1.0909434762711303</v>
      </c>
      <c r="H42" s="16">
        <v>2.4130434782608696</v>
      </c>
      <c r="I42" s="16">
        <v>1.9281157112297658</v>
      </c>
      <c r="J42" s="15">
        <v>6.4456521739130439</v>
      </c>
      <c r="K42" s="15">
        <v>2.326928506269998</v>
      </c>
      <c r="L42" s="16">
        <v>2.5217391304347827</v>
      </c>
      <c r="M42" s="16">
        <v>1.5861922119960863</v>
      </c>
      <c r="N42" s="16">
        <v>2</v>
      </c>
      <c r="O42" s="17">
        <v>0.26315789473684209</v>
      </c>
      <c r="P42" s="17">
        <v>0.57894736842105265</v>
      </c>
      <c r="Q42" s="17">
        <v>0.73684210526315796</v>
      </c>
      <c r="R42" s="16">
        <v>0.52631578947368418</v>
      </c>
      <c r="S42" s="17">
        <v>7.0000000000000007E-2</v>
      </c>
      <c r="T42" s="14">
        <f t="shared" si="2"/>
        <v>3</v>
      </c>
      <c r="U42" s="14">
        <f t="shared" si="3"/>
        <v>5</v>
      </c>
      <c r="V42" s="16">
        <v>0.10169491525423729</v>
      </c>
      <c r="W42" s="17">
        <v>0.50980392156862742</v>
      </c>
      <c r="X42" s="16">
        <v>0.6071428571428571</v>
      </c>
      <c r="Y42" s="14">
        <v>1</v>
      </c>
    </row>
    <row r="43" spans="1:25">
      <c r="A43" s="14" t="s">
        <v>46</v>
      </c>
      <c r="B43" s="14" t="s">
        <v>47</v>
      </c>
      <c r="C43" s="14" t="s">
        <v>208</v>
      </c>
      <c r="D43" s="15">
        <v>6.1956521739130439</v>
      </c>
      <c r="E43" s="15">
        <v>0.91674448409363185</v>
      </c>
      <c r="F43" s="15">
        <v>3.8586956521739131</v>
      </c>
      <c r="G43" s="15">
        <v>2.2018050623813497</v>
      </c>
      <c r="H43" s="16">
        <v>8.3695652173913047</v>
      </c>
      <c r="I43" s="16">
        <v>1.1646571094159612</v>
      </c>
      <c r="J43" s="15">
        <v>3.6195652173913042</v>
      </c>
      <c r="K43" s="15">
        <v>2.9420871387441414</v>
      </c>
      <c r="L43" s="16">
        <v>1.5652173913043479</v>
      </c>
      <c r="M43" s="16">
        <v>0.98677349490329813</v>
      </c>
      <c r="N43" s="16">
        <v>1</v>
      </c>
      <c r="O43" s="17">
        <v>0.23529411764705888</v>
      </c>
      <c r="P43" s="17">
        <v>0.6470588235294118</v>
      </c>
      <c r="Q43" s="17">
        <v>0.88235294117647056</v>
      </c>
      <c r="R43" s="16">
        <v>0.58823529411764708</v>
      </c>
      <c r="S43" s="17">
        <v>1.42</v>
      </c>
      <c r="T43" s="14">
        <f t="shared" si="2"/>
        <v>5</v>
      </c>
      <c r="U43" s="14">
        <f t="shared" si="3"/>
        <v>5</v>
      </c>
      <c r="V43" s="16">
        <v>0.15254237288135594</v>
      </c>
      <c r="W43" s="17">
        <v>0.52941176470588236</v>
      </c>
      <c r="X43" s="16">
        <v>0.5</v>
      </c>
      <c r="Y43" s="14">
        <v>1</v>
      </c>
    </row>
    <row r="44" spans="1:25">
      <c r="A44" s="14" t="s">
        <v>64</v>
      </c>
      <c r="B44" s="14" t="s">
        <v>65</v>
      </c>
      <c r="C44" s="14" t="s">
        <v>209</v>
      </c>
      <c r="D44" s="15">
        <v>4.0434782608695654</v>
      </c>
      <c r="E44" s="15">
        <v>1.9606740457832177</v>
      </c>
      <c r="F44" s="15">
        <v>5.0978260869565215</v>
      </c>
      <c r="G44" s="15">
        <v>2.0651997886945663</v>
      </c>
      <c r="H44" s="16">
        <v>4.5434782608695654</v>
      </c>
      <c r="I44" s="16">
        <v>1.8776478357579764</v>
      </c>
      <c r="J44" s="15">
        <v>4.7826086956521738</v>
      </c>
      <c r="K44" s="15">
        <v>1.868337022545361</v>
      </c>
      <c r="L44" s="16">
        <v>2.1195652173913042</v>
      </c>
      <c r="M44" s="16">
        <v>1.2995552181153063</v>
      </c>
      <c r="N44" s="16">
        <v>2</v>
      </c>
      <c r="O44" s="17">
        <v>0</v>
      </c>
      <c r="P44" s="17">
        <v>0.2105263157894737</v>
      </c>
      <c r="Q44" s="17">
        <v>0.31578947368421056</v>
      </c>
      <c r="R44" s="16">
        <v>0.17543859649122809</v>
      </c>
      <c r="S44" s="17">
        <v>-0.77</v>
      </c>
      <c r="T44" s="14">
        <f t="shared" si="2"/>
        <v>6</v>
      </c>
      <c r="U44" s="14">
        <f t="shared" si="3"/>
        <v>8</v>
      </c>
      <c r="V44" s="16">
        <v>0.15254237288135594</v>
      </c>
      <c r="W44" s="17">
        <v>0.15686274509803921</v>
      </c>
      <c r="X44" s="16">
        <v>0.21428571428571427</v>
      </c>
      <c r="Y44" s="14">
        <v>1</v>
      </c>
    </row>
    <row r="45" spans="1:25">
      <c r="A45" s="14" t="s">
        <v>106</v>
      </c>
      <c r="B45" s="14" t="s">
        <v>107</v>
      </c>
      <c r="C45" s="14" t="s">
        <v>210</v>
      </c>
      <c r="D45" s="15">
        <v>5.75</v>
      </c>
      <c r="E45" s="15">
        <v>1.2191241676973417</v>
      </c>
      <c r="F45" s="15">
        <v>6.5978260869565215</v>
      </c>
      <c r="G45" s="15">
        <v>0.99515068833760423</v>
      </c>
      <c r="H45" s="16">
        <v>5.9347826086956523</v>
      </c>
      <c r="I45" s="16">
        <v>1.8915912705019746</v>
      </c>
      <c r="J45" s="15">
        <v>4.8586956521739131</v>
      </c>
      <c r="K45" s="15">
        <v>2.1152586506386801</v>
      </c>
      <c r="L45" s="16">
        <v>1.8478260869565217</v>
      </c>
      <c r="M45" s="16">
        <v>1.194628845839574</v>
      </c>
      <c r="N45" s="16">
        <v>1</v>
      </c>
      <c r="O45" s="17">
        <v>0</v>
      </c>
      <c r="P45" s="17">
        <v>0.36842105263157893</v>
      </c>
      <c r="Q45" s="17">
        <v>0.57894736842105265</v>
      </c>
      <c r="R45" s="16">
        <v>0.31578947368421056</v>
      </c>
      <c r="S45" s="17">
        <v>1.21</v>
      </c>
      <c r="T45" s="14">
        <f t="shared" si="2"/>
        <v>7</v>
      </c>
      <c r="U45" s="14">
        <f t="shared" si="3"/>
        <v>6</v>
      </c>
      <c r="V45" s="14"/>
      <c r="W45" s="14"/>
      <c r="X45" s="14"/>
      <c r="Y45" s="14">
        <v>0</v>
      </c>
    </row>
    <row r="46" spans="1:25">
      <c r="A46" s="14" t="s">
        <v>79</v>
      </c>
      <c r="B46" s="14" t="s">
        <v>154</v>
      </c>
      <c r="C46" s="14" t="s">
        <v>211</v>
      </c>
      <c r="D46" s="15">
        <v>5.3913043478260869</v>
      </c>
      <c r="E46" s="15">
        <v>1.4138756783490705</v>
      </c>
      <c r="F46" s="15">
        <v>3.1847826086956523</v>
      </c>
      <c r="G46" s="15">
        <v>2.1935437123877328</v>
      </c>
      <c r="H46" s="16">
        <v>3.4891304347826089</v>
      </c>
      <c r="I46" s="16">
        <v>2.119996709604492</v>
      </c>
      <c r="J46" s="15">
        <v>6.4456521739130439</v>
      </c>
      <c r="K46" s="15">
        <v>1.7996588836409382</v>
      </c>
      <c r="L46" s="16">
        <v>3.902173913043478</v>
      </c>
      <c r="M46" s="16">
        <v>1.3990560601819257</v>
      </c>
      <c r="N46" s="16">
        <v>4</v>
      </c>
      <c r="O46" s="17">
        <v>5.8823529411764712E-2</v>
      </c>
      <c r="P46" s="17">
        <v>0.29411764705882359</v>
      </c>
      <c r="Q46" s="17">
        <v>0.52941176470588236</v>
      </c>
      <c r="R46" s="16">
        <v>0.29411764705882354</v>
      </c>
      <c r="S46" s="17">
        <v>0.64</v>
      </c>
      <c r="T46" s="14">
        <f t="shared" si="2"/>
        <v>4</v>
      </c>
      <c r="U46" s="14">
        <f t="shared" si="3"/>
        <v>7</v>
      </c>
      <c r="V46" s="16">
        <v>0.16949152542372881</v>
      </c>
      <c r="W46" s="17">
        <v>0.29411764705882354</v>
      </c>
      <c r="X46" s="16">
        <v>0.35714285714285715</v>
      </c>
      <c r="Y46" s="14">
        <v>1</v>
      </c>
    </row>
    <row r="47" spans="1:25" s="3" customFormat="1">
      <c r="A47" s="14" t="s">
        <v>102</v>
      </c>
      <c r="B47" s="14" t="s">
        <v>103</v>
      </c>
      <c r="C47" s="14" t="s">
        <v>212</v>
      </c>
      <c r="D47" s="15">
        <v>6.0760869565217392</v>
      </c>
      <c r="E47" s="15">
        <v>1.1788772424620948</v>
      </c>
      <c r="F47" s="15">
        <v>6.5760869565217392</v>
      </c>
      <c r="G47" s="15">
        <v>0.94034942829808077</v>
      </c>
      <c r="H47" s="16">
        <v>7.2282608695652177</v>
      </c>
      <c r="I47" s="16">
        <v>2.0971108376204546</v>
      </c>
      <c r="J47" s="15">
        <v>3.8586956521739131</v>
      </c>
      <c r="K47" s="15">
        <v>2.583044977716022</v>
      </c>
      <c r="L47" s="16">
        <v>1.9130434782608696</v>
      </c>
      <c r="M47" s="16">
        <v>1.2283480724533484</v>
      </c>
      <c r="N47" s="16">
        <v>1.5</v>
      </c>
      <c r="O47" s="17">
        <v>5.2631578947368418E-2</v>
      </c>
      <c r="P47" s="17">
        <v>0.42105263157894735</v>
      </c>
      <c r="Q47" s="17">
        <v>0.57894736842105265</v>
      </c>
      <c r="R47" s="16">
        <v>0.35087719298245612</v>
      </c>
      <c r="S47" s="17">
        <v>0.89</v>
      </c>
      <c r="T47" s="14">
        <f t="shared" si="2"/>
        <v>4</v>
      </c>
      <c r="U47" s="14">
        <f t="shared" si="3"/>
        <v>5</v>
      </c>
      <c r="V47" s="14"/>
      <c r="W47" s="14"/>
      <c r="X47" s="14"/>
      <c r="Y47" s="14">
        <v>0</v>
      </c>
    </row>
    <row r="48" spans="1:25">
      <c r="A48" s="14" t="s">
        <v>25</v>
      </c>
      <c r="B48" s="14" t="s">
        <v>153</v>
      </c>
      <c r="C48" s="14" t="s">
        <v>213</v>
      </c>
      <c r="D48" s="15">
        <v>6.25</v>
      </c>
      <c r="E48" s="15">
        <v>1.1155740650021828</v>
      </c>
      <c r="F48" s="15">
        <v>6.4130434782608692</v>
      </c>
      <c r="G48" s="15">
        <v>1.028732004241341</v>
      </c>
      <c r="H48" s="16">
        <v>5.6521739130434785</v>
      </c>
      <c r="I48" s="16">
        <v>2.2650463091532362</v>
      </c>
      <c r="J48" s="15">
        <v>5.8478260869565215</v>
      </c>
      <c r="K48" s="15">
        <v>2.1377547151553982</v>
      </c>
      <c r="L48" s="16">
        <v>1.8804347826086956</v>
      </c>
      <c r="M48" s="16">
        <v>1.1937786650776003</v>
      </c>
      <c r="N48" s="16">
        <v>1</v>
      </c>
      <c r="O48" s="17">
        <v>0.10526315789473684</v>
      </c>
      <c r="P48" s="17">
        <v>0.36842105263157898</v>
      </c>
      <c r="Q48" s="17">
        <v>0.57894736842105265</v>
      </c>
      <c r="R48" s="16">
        <v>0.35087719298245618</v>
      </c>
      <c r="S48" s="17">
        <v>2.13</v>
      </c>
      <c r="T48" s="14">
        <f t="shared" si="2"/>
        <v>6</v>
      </c>
      <c r="U48" s="14">
        <f t="shared" si="3"/>
        <v>6</v>
      </c>
      <c r="V48" s="14"/>
      <c r="W48" s="14"/>
      <c r="X48" s="14"/>
      <c r="Y48" s="14">
        <v>0</v>
      </c>
    </row>
    <row r="49" spans="1:25">
      <c r="A49" s="14" t="s">
        <v>0</v>
      </c>
      <c r="B49" s="14" t="s">
        <v>1</v>
      </c>
      <c r="C49" s="14" t="s">
        <v>214</v>
      </c>
      <c r="D49" s="15">
        <v>6.0543478260869561</v>
      </c>
      <c r="E49" s="15">
        <v>1.2611187291909114</v>
      </c>
      <c r="F49" s="15">
        <v>6.75</v>
      </c>
      <c r="G49" s="15">
        <v>0.73566894131041793</v>
      </c>
      <c r="H49" s="16">
        <v>7.5</v>
      </c>
      <c r="I49" s="16">
        <v>1.8247384277398033</v>
      </c>
      <c r="J49" s="15">
        <v>3.8260869565217392</v>
      </c>
      <c r="K49" s="15">
        <v>2.474523799908078</v>
      </c>
      <c r="L49" s="16">
        <v>2.5108695652173911</v>
      </c>
      <c r="M49" s="16">
        <v>1.4935360005696587</v>
      </c>
      <c r="N49" s="16">
        <v>2</v>
      </c>
      <c r="O49" s="17">
        <v>5.8823529411764712E-2</v>
      </c>
      <c r="P49" s="17">
        <v>0.6470588235294118</v>
      </c>
      <c r="Q49" s="17">
        <v>0.82352941176470573</v>
      </c>
      <c r="R49" s="16">
        <v>0.50980392156862742</v>
      </c>
      <c r="S49" s="17">
        <v>1.49</v>
      </c>
      <c r="T49" s="14">
        <f t="shared" si="2"/>
        <v>6</v>
      </c>
      <c r="U49" s="14">
        <f t="shared" si="3"/>
        <v>5</v>
      </c>
      <c r="V49" s="16">
        <v>0.30508474576271188</v>
      </c>
      <c r="W49" s="17">
        <v>0.5490196078431373</v>
      </c>
      <c r="X49" s="16">
        <v>0.32142857142857145</v>
      </c>
      <c r="Y49" s="14">
        <v>1</v>
      </c>
    </row>
    <row r="50" spans="1:25">
      <c r="A50" s="14" t="s">
        <v>98</v>
      </c>
      <c r="B50" s="14" t="s">
        <v>155</v>
      </c>
      <c r="C50" s="14" t="s">
        <v>215</v>
      </c>
      <c r="D50" s="15">
        <v>5.8478260869565215</v>
      </c>
      <c r="E50" s="15">
        <v>1.3171296014456215</v>
      </c>
      <c r="F50" s="15">
        <v>2.8913043478260869</v>
      </c>
      <c r="G50" s="15">
        <v>2.2505507103287208</v>
      </c>
      <c r="H50" s="16">
        <v>4.9673913043478262</v>
      </c>
      <c r="I50" s="16">
        <v>2.1197713278938646</v>
      </c>
      <c r="J50" s="15">
        <v>6.4130434782608692</v>
      </c>
      <c r="K50" s="15">
        <v>2.1542300524707172</v>
      </c>
      <c r="L50" s="16">
        <v>3.7391304347826089</v>
      </c>
      <c r="M50" s="16">
        <v>1.3737697010747532</v>
      </c>
      <c r="N50" s="16">
        <v>4</v>
      </c>
      <c r="O50" s="17">
        <v>0.1764705882352941</v>
      </c>
      <c r="P50" s="17">
        <v>0.29411764705882359</v>
      </c>
      <c r="Q50" s="17">
        <v>0.41176470588235292</v>
      </c>
      <c r="R50" s="16">
        <v>0.29411764705882354</v>
      </c>
      <c r="S50" s="17">
        <v>1.41</v>
      </c>
      <c r="T50" s="14">
        <f t="shared" si="2"/>
        <v>5</v>
      </c>
      <c r="U50" s="14">
        <f t="shared" si="3"/>
        <v>8</v>
      </c>
      <c r="V50" s="14"/>
      <c r="W50" s="14"/>
      <c r="X50" s="14"/>
      <c r="Y50" s="14">
        <v>0</v>
      </c>
    </row>
    <row r="51" spans="1:25">
      <c r="A51" s="14" t="s">
        <v>58</v>
      </c>
      <c r="B51" s="14" t="s">
        <v>59</v>
      </c>
      <c r="C51" s="14" t="s">
        <v>216</v>
      </c>
      <c r="D51" s="15">
        <v>5.1086956521739131</v>
      </c>
      <c r="E51" s="15">
        <v>1.6538767094589548</v>
      </c>
      <c r="F51" s="15">
        <v>6.3478260869565215</v>
      </c>
      <c r="G51" s="15">
        <v>1.1524916400611742</v>
      </c>
      <c r="H51" s="16">
        <v>6.8804347826086953</v>
      </c>
      <c r="I51" s="16">
        <v>1.8976120986699672</v>
      </c>
      <c r="J51" s="15">
        <v>3.75</v>
      </c>
      <c r="K51" s="15">
        <v>2.5273232158476757</v>
      </c>
      <c r="L51" s="16">
        <v>1.4347826086956521</v>
      </c>
      <c r="M51" s="16">
        <v>0.89325122693422232</v>
      </c>
      <c r="N51" s="16">
        <v>1</v>
      </c>
      <c r="O51" s="17">
        <v>0.11764705882352944</v>
      </c>
      <c r="P51" s="17">
        <v>0.47058823529411764</v>
      </c>
      <c r="Q51" s="17">
        <v>0.76470588235294112</v>
      </c>
      <c r="R51" s="16">
        <v>0.45098039215686275</v>
      </c>
      <c r="S51" s="17">
        <v>1.27</v>
      </c>
      <c r="T51" s="14">
        <f t="shared" si="2"/>
        <v>7</v>
      </c>
      <c r="U51" s="14">
        <f t="shared" si="3"/>
        <v>4</v>
      </c>
      <c r="V51" s="14"/>
      <c r="W51" s="14"/>
      <c r="X51" s="14"/>
      <c r="Y51" s="14">
        <v>0</v>
      </c>
    </row>
    <row r="52" spans="1:25">
      <c r="A52" s="14" t="s">
        <v>89</v>
      </c>
      <c r="B52" s="14" t="s">
        <v>90</v>
      </c>
      <c r="C52" s="14" t="s">
        <v>217</v>
      </c>
      <c r="D52" s="15">
        <v>6.3043478260869561</v>
      </c>
      <c r="E52" s="15">
        <v>1.0968399207511832</v>
      </c>
      <c r="F52" s="15">
        <v>5.9130434782608692</v>
      </c>
      <c r="G52" s="15">
        <v>1.7330160073136518</v>
      </c>
      <c r="H52" s="16">
        <v>7.7173913043478262</v>
      </c>
      <c r="I52" s="16">
        <v>1.3286867593751863</v>
      </c>
      <c r="J52" s="15">
        <v>3.0108695652173911</v>
      </c>
      <c r="K52" s="15">
        <v>2.3133371794610338</v>
      </c>
      <c r="L52" s="16">
        <v>2.0108695652173911</v>
      </c>
      <c r="M52" s="16">
        <v>1.3627264624168849</v>
      </c>
      <c r="N52" s="16">
        <v>1</v>
      </c>
      <c r="O52" s="17">
        <v>0.29411764705882354</v>
      </c>
      <c r="P52" s="17">
        <v>0.6470588235294118</v>
      </c>
      <c r="Q52" s="17">
        <v>0.76470588235294112</v>
      </c>
      <c r="R52" s="16">
        <v>0.56862745098039214</v>
      </c>
      <c r="S52" s="17">
        <v>0.87</v>
      </c>
      <c r="T52" s="14">
        <f t="shared" si="2"/>
        <v>5</v>
      </c>
      <c r="U52" s="14">
        <f t="shared" si="3"/>
        <v>5</v>
      </c>
      <c r="V52" s="16">
        <v>0.57627118644067798</v>
      </c>
      <c r="W52" s="17">
        <v>0.52941176470588236</v>
      </c>
      <c r="X52" s="16">
        <v>0.5357142857142857</v>
      </c>
      <c r="Y52" s="14">
        <v>1</v>
      </c>
    </row>
    <row r="53" spans="1:25">
      <c r="A53" s="14" t="s">
        <v>8</v>
      </c>
      <c r="B53" s="14" t="s">
        <v>145</v>
      </c>
      <c r="C53" s="14" t="s">
        <v>218</v>
      </c>
      <c r="D53" s="15">
        <v>5.1847826086956523</v>
      </c>
      <c r="E53" s="15">
        <v>1.4291267434783343</v>
      </c>
      <c r="F53" s="15">
        <v>5.2608695652173916</v>
      </c>
      <c r="G53" s="15">
        <v>1.9491872931247343</v>
      </c>
      <c r="H53" s="16">
        <v>2.152173913043478</v>
      </c>
      <c r="I53" s="16">
        <v>1.5258561466963041</v>
      </c>
      <c r="J53" s="15">
        <v>6.3804347826086953</v>
      </c>
      <c r="K53" s="15">
        <v>1.9658758711462165</v>
      </c>
      <c r="L53" s="16">
        <v>2.6956521739130435</v>
      </c>
      <c r="M53" s="16">
        <v>1.6886116960702104</v>
      </c>
      <c r="N53" s="16">
        <v>2</v>
      </c>
      <c r="O53" s="17">
        <v>0.15789473684210528</v>
      </c>
      <c r="P53" s="17">
        <v>0.47368421052631576</v>
      </c>
      <c r="Q53" s="17">
        <v>0.68421052631578949</v>
      </c>
      <c r="R53" s="16">
        <v>0.43859649122807021</v>
      </c>
      <c r="S53" s="17">
        <v>0.38</v>
      </c>
      <c r="T53" s="14">
        <f t="shared" si="2"/>
        <v>6</v>
      </c>
      <c r="U53" s="14">
        <f t="shared" si="3"/>
        <v>5</v>
      </c>
      <c r="V53" s="14"/>
      <c r="W53" s="14"/>
      <c r="X53" s="14"/>
      <c r="Y53" s="14">
        <v>0</v>
      </c>
    </row>
    <row r="54" spans="1:25">
      <c r="A54" s="14" t="s">
        <v>108</v>
      </c>
      <c r="B54" s="14" t="s">
        <v>109</v>
      </c>
      <c r="C54" s="14" t="s">
        <v>219</v>
      </c>
      <c r="D54" s="15">
        <v>6.0108695652173916</v>
      </c>
      <c r="E54" s="15">
        <v>1.2269372680471013</v>
      </c>
      <c r="F54" s="15">
        <v>6.6304347826086953</v>
      </c>
      <c r="G54" s="15">
        <v>1.0453180945419789</v>
      </c>
      <c r="H54" s="16">
        <v>4.9456521739130439</v>
      </c>
      <c r="I54" s="16">
        <v>1.6598962660212426</v>
      </c>
      <c r="J54" s="15">
        <v>5.1413043478260869</v>
      </c>
      <c r="K54" s="15">
        <v>1.7948737856335515</v>
      </c>
      <c r="L54" s="16">
        <v>1.3695652173913044</v>
      </c>
      <c r="M54" s="16">
        <v>0.76628676961198394</v>
      </c>
      <c r="N54" s="16">
        <v>1</v>
      </c>
      <c r="O54" s="17">
        <v>0.11764705882352944</v>
      </c>
      <c r="P54" s="17">
        <v>0.47058823529411764</v>
      </c>
      <c r="Q54" s="17">
        <v>0.76470588235294112</v>
      </c>
      <c r="R54" s="16">
        <v>0.45098039215686275</v>
      </c>
      <c r="S54" s="17">
        <v>1.08</v>
      </c>
      <c r="T54" s="14">
        <f t="shared" si="2"/>
        <v>5</v>
      </c>
      <c r="U54" s="14">
        <f t="shared" si="3"/>
        <v>4</v>
      </c>
      <c r="V54" s="14"/>
      <c r="W54" s="14"/>
      <c r="X54" s="14"/>
      <c r="Y54" s="14">
        <v>0</v>
      </c>
    </row>
    <row r="55" spans="1:25">
      <c r="A55" s="14" t="s">
        <v>37</v>
      </c>
      <c r="B55" s="14" t="s">
        <v>38</v>
      </c>
      <c r="C55" s="14" t="s">
        <v>220</v>
      </c>
      <c r="D55" s="15">
        <v>6.6847826086956523</v>
      </c>
      <c r="E55" s="15">
        <v>0.72520323526682673</v>
      </c>
      <c r="F55" s="15">
        <v>6.8043478260869561</v>
      </c>
      <c r="G55" s="15">
        <v>0.57872786663646469</v>
      </c>
      <c r="H55" s="16">
        <v>7.1956521739130439</v>
      </c>
      <c r="I55" s="16">
        <v>1.5565468292132048</v>
      </c>
      <c r="J55" s="15">
        <v>4.2934782608695654</v>
      </c>
      <c r="K55" s="15">
        <v>2.3230240024600981</v>
      </c>
      <c r="L55" s="16">
        <v>2.652173913043478</v>
      </c>
      <c r="M55" s="16">
        <v>1.666969235157129</v>
      </c>
      <c r="N55" s="16">
        <v>2</v>
      </c>
      <c r="O55" s="17">
        <v>0.52631578947368429</v>
      </c>
      <c r="P55" s="17">
        <v>0.94736842105263153</v>
      </c>
      <c r="Q55" s="17">
        <v>0.94736842105263153</v>
      </c>
      <c r="R55" s="16">
        <v>0.80701754385964908</v>
      </c>
      <c r="S55" s="17">
        <v>1.06</v>
      </c>
      <c r="T55" s="14">
        <f t="shared" si="2"/>
        <v>3</v>
      </c>
      <c r="U55" s="14">
        <f t="shared" si="3"/>
        <v>3</v>
      </c>
      <c r="V55" s="14"/>
      <c r="W55" s="14"/>
      <c r="X55" s="14"/>
      <c r="Y55" s="14">
        <v>0</v>
      </c>
    </row>
    <row r="56" spans="1:25">
      <c r="A56" s="14" t="s">
        <v>43</v>
      </c>
      <c r="B56" s="14" t="s">
        <v>44</v>
      </c>
      <c r="C56" s="14" t="s">
        <v>221</v>
      </c>
      <c r="D56" s="15">
        <v>5.4347826086956523</v>
      </c>
      <c r="E56" s="15">
        <v>1.3285069519774677</v>
      </c>
      <c r="F56" s="15">
        <v>6.7391304347826084</v>
      </c>
      <c r="G56" s="15">
        <v>0.78263523870686202</v>
      </c>
      <c r="H56" s="16">
        <v>6.7391304347826084</v>
      </c>
      <c r="I56" s="16">
        <v>1.988259856639742</v>
      </c>
      <c r="J56" s="15">
        <v>4.5652173913043477</v>
      </c>
      <c r="K56" s="15">
        <v>2.4776111670475727</v>
      </c>
      <c r="L56" s="16">
        <v>1.673913043478261</v>
      </c>
      <c r="M56" s="16">
        <v>1.1300947704319617</v>
      </c>
      <c r="N56" s="16">
        <v>1</v>
      </c>
      <c r="O56" s="17">
        <v>0.10526315789473684</v>
      </c>
      <c r="P56" s="17">
        <v>0.36842105263157898</v>
      </c>
      <c r="Q56" s="17">
        <v>0.57894736842105265</v>
      </c>
      <c r="R56" s="16">
        <v>0.35087719298245618</v>
      </c>
      <c r="S56" s="17">
        <v>0.54</v>
      </c>
      <c r="T56" s="14">
        <f t="shared" si="2"/>
        <v>6</v>
      </c>
      <c r="U56" s="14">
        <f t="shared" si="3"/>
        <v>8</v>
      </c>
      <c r="V56" s="14"/>
      <c r="W56" s="14"/>
      <c r="X56" s="14"/>
      <c r="Y56" s="14">
        <v>0</v>
      </c>
    </row>
    <row r="57" spans="1:25" s="3" customFormat="1">
      <c r="A57" s="14" t="s">
        <v>71</v>
      </c>
      <c r="B57" s="14" t="s">
        <v>156</v>
      </c>
      <c r="C57" s="14" t="s">
        <v>222</v>
      </c>
      <c r="D57" s="15">
        <v>5.0108695652173916</v>
      </c>
      <c r="E57" s="15">
        <v>1.5793625450585669</v>
      </c>
      <c r="F57" s="15">
        <v>6.1086956521739131</v>
      </c>
      <c r="G57" s="15">
        <v>1.2531851440452106</v>
      </c>
      <c r="H57" s="16">
        <v>7.0869565217391308</v>
      </c>
      <c r="I57" s="16">
        <v>1.5594601342056744</v>
      </c>
      <c r="J57" s="15">
        <v>4.1521739130434785</v>
      </c>
      <c r="K57" s="15">
        <v>2.3106765224496275</v>
      </c>
      <c r="L57" s="16">
        <v>3.8152173913043477</v>
      </c>
      <c r="M57" s="16">
        <v>1.568434144778609</v>
      </c>
      <c r="N57" s="16">
        <v>5</v>
      </c>
      <c r="O57" s="17">
        <v>0.47058823529411764</v>
      </c>
      <c r="P57" s="17">
        <v>0.82352941176470573</v>
      </c>
      <c r="Q57" s="17">
        <v>0.88235294117647056</v>
      </c>
      <c r="R57" s="16">
        <v>0.72549019607843135</v>
      </c>
      <c r="S57" s="17">
        <v>0.61</v>
      </c>
      <c r="T57" s="14">
        <f t="shared" si="2"/>
        <v>4</v>
      </c>
      <c r="U57" s="14">
        <f t="shared" si="3"/>
        <v>6</v>
      </c>
      <c r="V57" s="16">
        <v>0.6271186440677966</v>
      </c>
      <c r="W57" s="17">
        <v>0.74509803921568629</v>
      </c>
      <c r="X57" s="16">
        <v>0.6785714285714286</v>
      </c>
      <c r="Y57" s="14">
        <v>1</v>
      </c>
    </row>
    <row r="58" spans="1:25">
      <c r="A58" s="14" t="s">
        <v>82</v>
      </c>
      <c r="B58" s="14" t="s">
        <v>83</v>
      </c>
      <c r="C58" s="14" t="s">
        <v>223</v>
      </c>
      <c r="D58" s="15">
        <v>6.5</v>
      </c>
      <c r="E58" s="15">
        <v>0.90784129900320365</v>
      </c>
      <c r="F58" s="15">
        <v>6.2934782608695654</v>
      </c>
      <c r="G58" s="15">
        <v>1.2362478100582677</v>
      </c>
      <c r="H58" s="16">
        <v>2.2717391304347827</v>
      </c>
      <c r="I58" s="16">
        <v>1.7039273372886754</v>
      </c>
      <c r="J58" s="15">
        <v>6.5</v>
      </c>
      <c r="K58" s="15">
        <v>1.9806758753205742</v>
      </c>
      <c r="L58" s="16">
        <v>3.5760869565217392</v>
      </c>
      <c r="M58" s="16">
        <v>1.5494323359811621</v>
      </c>
      <c r="N58" s="16">
        <v>4</v>
      </c>
      <c r="O58" s="17">
        <v>0.11764705882352944</v>
      </c>
      <c r="P58" s="17">
        <v>0.23529411764705888</v>
      </c>
      <c r="Q58" s="17">
        <v>0.58823529411764708</v>
      </c>
      <c r="R58" s="16">
        <v>0.31372549019607848</v>
      </c>
      <c r="S58" s="17">
        <v>1.07</v>
      </c>
      <c r="T58" s="14">
        <f t="shared" si="2"/>
        <v>5</v>
      </c>
      <c r="U58" s="14">
        <f t="shared" si="3"/>
        <v>6</v>
      </c>
      <c r="V58" s="14"/>
      <c r="W58" s="14"/>
      <c r="X58" s="14"/>
      <c r="Y58" s="14">
        <v>0</v>
      </c>
    </row>
    <row r="59" spans="1:25">
      <c r="A59" s="14" t="s">
        <v>54</v>
      </c>
      <c r="B59" s="14" t="s">
        <v>55</v>
      </c>
      <c r="C59" s="14" t="s">
        <v>224</v>
      </c>
      <c r="D59" s="15">
        <v>5.7608695652173916</v>
      </c>
      <c r="E59" s="15">
        <v>1.3617180907309645</v>
      </c>
      <c r="F59" s="15">
        <v>4.4673913043478262</v>
      </c>
      <c r="G59" s="15">
        <v>2.2210337507839357</v>
      </c>
      <c r="H59" s="16">
        <v>7.6847826086956523</v>
      </c>
      <c r="I59" s="16">
        <v>1.4595599805547825</v>
      </c>
      <c r="J59" s="15">
        <v>3.75</v>
      </c>
      <c r="K59" s="15">
        <v>2.6254251356413008</v>
      </c>
      <c r="L59" s="16">
        <v>2.5869565217391304</v>
      </c>
      <c r="M59" s="16">
        <v>1.5417427980151959</v>
      </c>
      <c r="N59" s="16">
        <v>2</v>
      </c>
      <c r="O59" s="17">
        <v>0.10526315789473684</v>
      </c>
      <c r="P59" s="17">
        <v>0.21052631578947373</v>
      </c>
      <c r="Q59" s="17">
        <v>0.36842105263157893</v>
      </c>
      <c r="R59" s="16">
        <v>0.22807017543859651</v>
      </c>
      <c r="S59" s="17">
        <v>1.45</v>
      </c>
      <c r="T59" s="14">
        <f t="shared" si="2"/>
        <v>6</v>
      </c>
      <c r="U59" s="14">
        <f t="shared" si="3"/>
        <v>5</v>
      </c>
      <c r="V59" s="16">
        <v>3.3898305084745763E-2</v>
      </c>
      <c r="W59" s="17">
        <v>0.23529411764705882</v>
      </c>
      <c r="X59" s="16">
        <v>0.35714285714285715</v>
      </c>
      <c r="Y59" s="14">
        <v>1</v>
      </c>
    </row>
    <row r="60" spans="1:25" s="3" customFormat="1">
      <c r="A60" s="14" t="s">
        <v>112</v>
      </c>
      <c r="B60" s="14" t="s">
        <v>157</v>
      </c>
      <c r="C60" s="14" t="s">
        <v>225</v>
      </c>
      <c r="D60" s="15">
        <v>6.4130434782608692</v>
      </c>
      <c r="E60" s="15">
        <v>0.93939627459673836</v>
      </c>
      <c r="F60" s="15">
        <v>6.7608695652173916</v>
      </c>
      <c r="G60" s="15">
        <v>0.65246051991868448</v>
      </c>
      <c r="H60" s="16">
        <v>5.5326086956521738</v>
      </c>
      <c r="I60" s="16">
        <v>1.4407803666688757</v>
      </c>
      <c r="J60" s="15">
        <v>4.5760869565217392</v>
      </c>
      <c r="K60" s="15">
        <v>1.6918271263112266</v>
      </c>
      <c r="L60" s="16">
        <v>3.75</v>
      </c>
      <c r="M60" s="16">
        <v>1.3797993165116997</v>
      </c>
      <c r="N60" s="16">
        <v>4</v>
      </c>
      <c r="O60" s="17">
        <v>5.2631578947368418E-2</v>
      </c>
      <c r="P60" s="17">
        <v>0.26315789473684209</v>
      </c>
      <c r="Q60" s="17">
        <v>0.52631578947368418</v>
      </c>
      <c r="R60" s="16">
        <v>0.2807017543859649</v>
      </c>
      <c r="S60" s="17">
        <v>1.05</v>
      </c>
      <c r="T60" s="14">
        <f t="shared" si="2"/>
        <v>5</v>
      </c>
      <c r="U60" s="14">
        <f t="shared" si="3"/>
        <v>6</v>
      </c>
      <c r="V60" s="16">
        <v>0.10169491525423729</v>
      </c>
      <c r="W60" s="17">
        <v>0.37254901960784315</v>
      </c>
      <c r="X60" s="16">
        <v>0.42857142857142855</v>
      </c>
      <c r="Y60" s="14">
        <v>1</v>
      </c>
    </row>
    <row r="61" spans="1:25" s="3" customFormat="1">
      <c r="A61" s="14" t="s">
        <v>116</v>
      </c>
      <c r="B61" s="14" t="s">
        <v>117</v>
      </c>
      <c r="C61" s="14" t="s">
        <v>226</v>
      </c>
      <c r="D61" s="15">
        <v>6.7173913043478262</v>
      </c>
      <c r="E61" s="15">
        <v>0.7749666700599257</v>
      </c>
      <c r="F61" s="15">
        <v>6.8478260869565215</v>
      </c>
      <c r="G61" s="15">
        <v>0.53318002255790353</v>
      </c>
      <c r="H61" s="16">
        <v>6.9673913043478262</v>
      </c>
      <c r="I61" s="16">
        <v>1.9298185700552639</v>
      </c>
      <c r="J61" s="15">
        <v>4.5978260869565215</v>
      </c>
      <c r="K61" s="15">
        <v>2.3953241199786621</v>
      </c>
      <c r="L61" s="16">
        <v>2.0108695652173911</v>
      </c>
      <c r="M61" s="16">
        <v>1.3546384718415521</v>
      </c>
      <c r="N61" s="16">
        <v>1</v>
      </c>
      <c r="O61" s="17">
        <v>0.21052631578947373</v>
      </c>
      <c r="P61" s="17">
        <v>0.36842105263157898</v>
      </c>
      <c r="Q61" s="17">
        <v>0.47368421052631576</v>
      </c>
      <c r="R61" s="16">
        <v>0.35087719298245612</v>
      </c>
      <c r="S61" s="17">
        <v>1.31</v>
      </c>
      <c r="T61" s="14">
        <f t="shared" si="2"/>
        <v>6</v>
      </c>
      <c r="U61" s="14">
        <f t="shared" si="3"/>
        <v>5</v>
      </c>
      <c r="V61" s="14"/>
      <c r="W61" s="14"/>
      <c r="X61" s="14"/>
      <c r="Y61" s="14">
        <v>0</v>
      </c>
    </row>
    <row r="62" spans="1:25">
      <c r="A62" s="14" t="s">
        <v>60</v>
      </c>
      <c r="B62" s="14" t="s">
        <v>61</v>
      </c>
      <c r="C62" s="14" t="s">
        <v>227</v>
      </c>
      <c r="D62" s="15">
        <v>6.5760869565217392</v>
      </c>
      <c r="E62" s="15">
        <v>0.89238162205888094</v>
      </c>
      <c r="F62" s="15">
        <v>3.5108695652173911</v>
      </c>
      <c r="G62" s="15">
        <v>2.3881325879282924</v>
      </c>
      <c r="H62" s="16">
        <v>1.8804347826086956</v>
      </c>
      <c r="I62" s="16">
        <v>1.4960930166207149</v>
      </c>
      <c r="J62" s="15">
        <v>7.7173913043478262</v>
      </c>
      <c r="K62" s="15">
        <v>1.8115992992443033</v>
      </c>
      <c r="L62" s="16">
        <v>1.7391304347826086</v>
      </c>
      <c r="M62" s="16">
        <v>1.0981459421553843</v>
      </c>
      <c r="N62" s="16">
        <v>1</v>
      </c>
      <c r="O62" s="17">
        <v>0.11764705882352944</v>
      </c>
      <c r="P62" s="17">
        <v>0.41176470588235292</v>
      </c>
      <c r="Q62" s="17">
        <v>0.70588235294117652</v>
      </c>
      <c r="R62" s="16">
        <v>0.41176470588235298</v>
      </c>
      <c r="S62" s="17">
        <v>2.4900000000000002</v>
      </c>
      <c r="T62" s="14">
        <f t="shared" si="2"/>
        <v>4</v>
      </c>
      <c r="U62" s="14">
        <f t="shared" si="3"/>
        <v>8</v>
      </c>
      <c r="V62" s="14"/>
      <c r="W62" s="14"/>
      <c r="X62" s="14"/>
      <c r="Y62" s="14">
        <v>0</v>
      </c>
    </row>
    <row r="63" spans="1:25">
      <c r="A63" s="14" t="s">
        <v>6</v>
      </c>
      <c r="B63" s="14" t="s">
        <v>7</v>
      </c>
      <c r="C63" s="14" t="s">
        <v>228</v>
      </c>
      <c r="D63" s="15">
        <v>5.1413043478260869</v>
      </c>
      <c r="E63" s="15">
        <v>1.5799674620319846</v>
      </c>
      <c r="F63" s="15">
        <v>4.3913043478260869</v>
      </c>
      <c r="G63" s="15">
        <v>1.9942583613586831</v>
      </c>
      <c r="H63" s="16">
        <v>5.5217391304347823</v>
      </c>
      <c r="I63" s="16">
        <v>2.1761861026064055</v>
      </c>
      <c r="J63" s="15">
        <v>5.1630434782608692</v>
      </c>
      <c r="K63" s="15">
        <v>2.0769651037138086</v>
      </c>
      <c r="L63" s="16">
        <v>2.0326086956521738</v>
      </c>
      <c r="M63" s="16">
        <v>1.3214301855596347</v>
      </c>
      <c r="N63" s="16">
        <v>1</v>
      </c>
      <c r="O63" s="17">
        <v>0.17647058823529413</v>
      </c>
      <c r="P63" s="17">
        <v>0.52941176470588247</v>
      </c>
      <c r="Q63" s="17">
        <v>0.76470588235294112</v>
      </c>
      <c r="R63" s="16">
        <v>0.49019607843137258</v>
      </c>
      <c r="S63" s="17">
        <v>0.81</v>
      </c>
      <c r="T63" s="14">
        <f t="shared" si="2"/>
        <v>5</v>
      </c>
      <c r="U63" s="14">
        <f t="shared" si="3"/>
        <v>7</v>
      </c>
      <c r="V63" s="16">
        <v>0.2711864406779661</v>
      </c>
      <c r="W63" s="17">
        <v>0.37254901960784315</v>
      </c>
      <c r="X63" s="16">
        <v>0.39285714285714285</v>
      </c>
      <c r="Y63" s="14">
        <v>1</v>
      </c>
    </row>
    <row r="64" spans="1:25">
      <c r="A64" s="14" t="s">
        <v>88</v>
      </c>
      <c r="B64" s="14" t="s">
        <v>158</v>
      </c>
      <c r="C64" s="14" t="s">
        <v>229</v>
      </c>
      <c r="D64" s="15">
        <v>5.9891304347826084</v>
      </c>
      <c r="E64" s="15">
        <v>1.1241071203246793</v>
      </c>
      <c r="F64" s="15">
        <v>6.6739130434782608</v>
      </c>
      <c r="G64" s="15">
        <v>0.96201135050960729</v>
      </c>
      <c r="H64" s="16">
        <v>5.7391304347826084</v>
      </c>
      <c r="I64" s="16">
        <v>1.740718338631543</v>
      </c>
      <c r="J64" s="15">
        <v>4.9673913043478262</v>
      </c>
      <c r="K64" s="15">
        <v>2.0778850561897646</v>
      </c>
      <c r="L64" s="16">
        <v>2.7608695652173911</v>
      </c>
      <c r="M64" s="16">
        <v>1.4852355066696785</v>
      </c>
      <c r="N64" s="16">
        <v>3</v>
      </c>
      <c r="O64" s="17">
        <v>5.8823529411764712E-2</v>
      </c>
      <c r="P64" s="17">
        <v>0.41176470588235292</v>
      </c>
      <c r="Q64" s="17">
        <v>0.6470588235294118</v>
      </c>
      <c r="R64" s="16">
        <v>0.37254901960784315</v>
      </c>
      <c r="S64" s="17">
        <v>0.73</v>
      </c>
      <c r="T64" s="14">
        <f t="shared" si="2"/>
        <v>4</v>
      </c>
      <c r="U64" s="14">
        <f t="shared" si="3"/>
        <v>6</v>
      </c>
      <c r="V64" s="14"/>
      <c r="W64" s="14"/>
      <c r="X64" s="14"/>
      <c r="Y64" s="14">
        <v>0</v>
      </c>
    </row>
    <row r="65" spans="1:25" s="3" customFormat="1">
      <c r="A65" s="14" t="s">
        <v>35</v>
      </c>
      <c r="B65" s="14" t="s">
        <v>36</v>
      </c>
      <c r="C65" s="14" t="s">
        <v>230</v>
      </c>
      <c r="D65" s="15">
        <v>6.5</v>
      </c>
      <c r="E65" s="15">
        <v>0.96647086560637407</v>
      </c>
      <c r="F65" s="15">
        <v>6.8369565217391308</v>
      </c>
      <c r="G65" s="15">
        <v>0.65090256715964945</v>
      </c>
      <c r="H65" s="16">
        <v>7.5869565217391308</v>
      </c>
      <c r="I65" s="16">
        <v>1.9051819094194071</v>
      </c>
      <c r="J65" s="15">
        <v>4.0760869565217392</v>
      </c>
      <c r="K65" s="15">
        <v>2.551593751692097</v>
      </c>
      <c r="L65" s="16">
        <v>2.1195652173913042</v>
      </c>
      <c r="M65" s="16">
        <v>1.4051896849340331</v>
      </c>
      <c r="N65" s="16">
        <v>1.5</v>
      </c>
      <c r="O65" s="17">
        <v>0.26315789473684209</v>
      </c>
      <c r="P65" s="17">
        <v>0.42105263157894735</v>
      </c>
      <c r="Q65" s="17">
        <v>0.52631578947368418</v>
      </c>
      <c r="R65" s="16">
        <v>0.40350877192982448</v>
      </c>
      <c r="S65" s="17">
        <v>1.17</v>
      </c>
      <c r="T65" s="14">
        <f t="shared" si="2"/>
        <v>6</v>
      </c>
      <c r="U65" s="14">
        <f t="shared" si="3"/>
        <v>6</v>
      </c>
      <c r="V65" s="14"/>
      <c r="W65" s="14"/>
      <c r="X65" s="14"/>
      <c r="Y65" s="14">
        <v>0</v>
      </c>
    </row>
    <row r="66" spans="1:25">
      <c r="A66" s="14" t="s">
        <v>77</v>
      </c>
      <c r="B66" s="14" t="s">
        <v>78</v>
      </c>
      <c r="C66" s="14" t="s">
        <v>231</v>
      </c>
      <c r="D66" s="15">
        <v>5.5326086956521738</v>
      </c>
      <c r="E66" s="15">
        <v>1.4407803666688757</v>
      </c>
      <c r="F66" s="15">
        <v>5.6521739130434785</v>
      </c>
      <c r="G66" s="15">
        <v>1.433007922408533</v>
      </c>
      <c r="H66" s="16">
        <v>6.0760869565217392</v>
      </c>
      <c r="I66" s="16">
        <v>1.7804413309667952</v>
      </c>
      <c r="J66" s="15">
        <v>4.7826086956521738</v>
      </c>
      <c r="K66" s="15">
        <v>2.0045338004848388</v>
      </c>
      <c r="L66" s="16">
        <v>2.0652173913043477</v>
      </c>
      <c r="M66" s="16">
        <v>1.2907476990300475</v>
      </c>
      <c r="N66" s="16">
        <v>2</v>
      </c>
      <c r="O66" s="17">
        <v>0.47058823529411759</v>
      </c>
      <c r="P66" s="17">
        <v>0.76470588235294112</v>
      </c>
      <c r="Q66" s="17">
        <v>0.94117647058823517</v>
      </c>
      <c r="R66" s="16">
        <v>0.72549019607843135</v>
      </c>
      <c r="S66" s="17">
        <v>1.48</v>
      </c>
      <c r="T66" s="14">
        <f t="shared" ref="T66:T81" si="4">LEN(A66)</f>
        <v>6</v>
      </c>
      <c r="U66" s="14">
        <f t="shared" ref="U66:U81" si="5">LEN(B66)</f>
        <v>6</v>
      </c>
      <c r="V66" s="16">
        <v>0.20338983050847459</v>
      </c>
      <c r="W66" s="17">
        <v>0.6470588235294118</v>
      </c>
      <c r="X66" s="16">
        <v>0.8214285714285714</v>
      </c>
      <c r="Y66" s="14">
        <v>1</v>
      </c>
    </row>
    <row r="67" spans="1:25">
      <c r="A67" s="14" t="s">
        <v>126</v>
      </c>
      <c r="B67" s="14" t="s">
        <v>127</v>
      </c>
      <c r="C67" s="14" t="s">
        <v>232</v>
      </c>
      <c r="D67" s="15">
        <v>6.0326086956521738</v>
      </c>
      <c r="E67" s="15">
        <v>1.1430736178163377</v>
      </c>
      <c r="F67" s="15">
        <v>6.0760869565217392</v>
      </c>
      <c r="G67" s="15">
        <v>1.4618496160849721</v>
      </c>
      <c r="H67" s="16">
        <v>5.7934782608695654</v>
      </c>
      <c r="I67" s="16">
        <v>1.6477626754745507</v>
      </c>
      <c r="J67" s="15">
        <v>4.7282608695652177</v>
      </c>
      <c r="K67" s="15">
        <v>1.9335286928112836</v>
      </c>
      <c r="L67" s="16">
        <v>2.6847826086956523</v>
      </c>
      <c r="M67" s="16">
        <v>1.4745410746375021</v>
      </c>
      <c r="N67" s="16">
        <v>2</v>
      </c>
      <c r="O67" s="17">
        <v>5.8823529411764719E-2</v>
      </c>
      <c r="P67" s="17">
        <v>0.41176470588235287</v>
      </c>
      <c r="Q67" s="17">
        <v>0.52941176470588236</v>
      </c>
      <c r="R67" s="16">
        <v>0.33333333333333331</v>
      </c>
      <c r="S67" s="17">
        <v>1.4</v>
      </c>
      <c r="T67" s="14">
        <f t="shared" si="4"/>
        <v>5</v>
      </c>
      <c r="U67" s="14">
        <f t="shared" si="5"/>
        <v>4</v>
      </c>
      <c r="V67" s="14"/>
      <c r="W67" s="14"/>
      <c r="X67" s="14"/>
      <c r="Y67" s="14">
        <v>0</v>
      </c>
    </row>
    <row r="68" spans="1:25">
      <c r="A68" s="14" t="s">
        <v>50</v>
      </c>
      <c r="B68" s="14" t="s">
        <v>51</v>
      </c>
      <c r="C68" s="14" t="s">
        <v>233</v>
      </c>
      <c r="D68" s="15">
        <v>6.4456521739130439</v>
      </c>
      <c r="E68" s="15">
        <v>0.85631629201670689</v>
      </c>
      <c r="F68" s="15">
        <v>3.4456521739130435</v>
      </c>
      <c r="G68" s="15">
        <v>2.2647035098612003</v>
      </c>
      <c r="H68" s="16">
        <v>7.5652173913043477</v>
      </c>
      <c r="I68" s="16">
        <v>1.4472736614485842</v>
      </c>
      <c r="J68" s="15">
        <v>4.4782608695652177</v>
      </c>
      <c r="K68" s="15">
        <v>2.5396991293188593</v>
      </c>
      <c r="L68" s="16">
        <v>2.0760869565217392</v>
      </c>
      <c r="M68" s="16">
        <v>1.4237676039851688</v>
      </c>
      <c r="N68" s="16">
        <v>1</v>
      </c>
      <c r="O68" s="17">
        <v>0</v>
      </c>
      <c r="P68" s="17">
        <v>5.2631578947368432E-2</v>
      </c>
      <c r="Q68" s="17">
        <v>0.36842105263157893</v>
      </c>
      <c r="R68" s="16">
        <v>0.14035087719298245</v>
      </c>
      <c r="S68" s="17">
        <v>1.31</v>
      </c>
      <c r="T68" s="14">
        <f t="shared" si="4"/>
        <v>5</v>
      </c>
      <c r="U68" s="14">
        <f t="shared" si="5"/>
        <v>5</v>
      </c>
      <c r="V68" s="16">
        <v>0</v>
      </c>
      <c r="W68" s="17">
        <v>0.19607843137254902</v>
      </c>
      <c r="X68" s="16">
        <v>0.21428571428571427</v>
      </c>
      <c r="Y68" s="14">
        <v>1</v>
      </c>
    </row>
    <row r="69" spans="1:25">
      <c r="A69" s="14" t="s">
        <v>28</v>
      </c>
      <c r="B69" s="14" t="s">
        <v>29</v>
      </c>
      <c r="C69" s="14" t="s">
        <v>234</v>
      </c>
      <c r="D69" s="15">
        <v>4.5652173913043477</v>
      </c>
      <c r="E69" s="15">
        <v>1.7180640000493721</v>
      </c>
      <c r="F69" s="15">
        <v>5.6304347826086953</v>
      </c>
      <c r="G69" s="15">
        <v>1.8794281998356079</v>
      </c>
      <c r="H69" s="16">
        <v>2.1195652173913042</v>
      </c>
      <c r="I69" s="16">
        <v>1.6957762092162716</v>
      </c>
      <c r="J69" s="15">
        <v>6.9565217391304346</v>
      </c>
      <c r="K69" s="15">
        <v>2.1631938306524381</v>
      </c>
      <c r="L69" s="16">
        <v>3.152173913043478</v>
      </c>
      <c r="M69" s="16">
        <v>1.3980738917469704</v>
      </c>
      <c r="N69" s="16">
        <v>4</v>
      </c>
      <c r="O69" s="17">
        <v>0.10526315789473684</v>
      </c>
      <c r="P69" s="17">
        <v>0.21052631578947367</v>
      </c>
      <c r="Q69" s="17">
        <v>0.52631578947368418</v>
      </c>
      <c r="R69" s="16">
        <v>0.2807017543859649</v>
      </c>
      <c r="S69" s="17">
        <v>-0.59</v>
      </c>
      <c r="T69" s="14">
        <f t="shared" si="4"/>
        <v>4</v>
      </c>
      <c r="U69" s="14">
        <f t="shared" si="5"/>
        <v>11</v>
      </c>
      <c r="V69" s="16">
        <v>0.25423728813559321</v>
      </c>
      <c r="W69" s="17">
        <v>0.25490196078431371</v>
      </c>
      <c r="X69" s="16">
        <v>0.2857142857142857</v>
      </c>
      <c r="Y69" s="14">
        <v>1</v>
      </c>
    </row>
    <row r="70" spans="1:25" s="3" customFormat="1">
      <c r="A70" s="14" t="s">
        <v>84</v>
      </c>
      <c r="B70" s="14" t="s">
        <v>85</v>
      </c>
      <c r="C70" s="14" t="s">
        <v>235</v>
      </c>
      <c r="D70" s="15">
        <v>5.5978260869565215</v>
      </c>
      <c r="E70" s="15">
        <v>1.3429488842415487</v>
      </c>
      <c r="F70" s="15">
        <v>6.5869565217391308</v>
      </c>
      <c r="G70" s="15">
        <v>1.0179938676496949</v>
      </c>
      <c r="H70" s="16">
        <v>3.6847826086956523</v>
      </c>
      <c r="I70" s="16">
        <v>2.2674444530850337</v>
      </c>
      <c r="J70" s="15">
        <v>6.1630434782608692</v>
      </c>
      <c r="K70" s="15">
        <v>2.1902740754438463</v>
      </c>
      <c r="L70" s="16">
        <v>3.8695652173913042</v>
      </c>
      <c r="M70" s="16">
        <v>1.3442379376667624</v>
      </c>
      <c r="N70" s="16">
        <v>4</v>
      </c>
      <c r="O70" s="17">
        <v>0.11764705882352941</v>
      </c>
      <c r="P70" s="17">
        <v>0.58823529411764708</v>
      </c>
      <c r="Q70" s="17">
        <v>0.70588235294117652</v>
      </c>
      <c r="R70" s="16">
        <v>0.4705882352941177</v>
      </c>
      <c r="S70" s="17">
        <v>0.65</v>
      </c>
      <c r="T70" s="14">
        <f t="shared" si="4"/>
        <v>5</v>
      </c>
      <c r="U70" s="14">
        <f t="shared" si="5"/>
        <v>4</v>
      </c>
      <c r="V70" s="16">
        <v>0.11864406779661017</v>
      </c>
      <c r="W70" s="17">
        <v>0.35294117647058826</v>
      </c>
      <c r="X70" s="16">
        <v>0.32142857142857145</v>
      </c>
      <c r="Y70" s="14">
        <v>1</v>
      </c>
    </row>
    <row r="71" spans="1:25" s="3" customFormat="1">
      <c r="A71" s="14" t="s">
        <v>80</v>
      </c>
      <c r="B71" s="14" t="s">
        <v>81</v>
      </c>
      <c r="C71" s="14" t="s">
        <v>236</v>
      </c>
      <c r="D71" s="15">
        <v>5.25</v>
      </c>
      <c r="E71" s="15">
        <v>1.5308189290071486</v>
      </c>
      <c r="F71" s="15">
        <v>5.9130434782608692</v>
      </c>
      <c r="G71" s="15">
        <v>1.494695190456764</v>
      </c>
      <c r="H71" s="16">
        <v>6.9021739130434785</v>
      </c>
      <c r="I71" s="16">
        <v>1.9502593944615716</v>
      </c>
      <c r="J71" s="15">
        <v>3.3152173913043477</v>
      </c>
      <c r="K71" s="15">
        <v>2.2625928325370577</v>
      </c>
      <c r="L71" s="16">
        <v>1.6956521739130435</v>
      </c>
      <c r="M71" s="16">
        <v>1.1928277459606997</v>
      </c>
      <c r="N71" s="16">
        <v>1</v>
      </c>
      <c r="O71" s="17">
        <v>0.10526315789473684</v>
      </c>
      <c r="P71" s="17">
        <v>0.21052631578947367</v>
      </c>
      <c r="Q71" s="17">
        <v>0.52631578947368418</v>
      </c>
      <c r="R71" s="16">
        <v>0.2807017543859649</v>
      </c>
      <c r="S71" s="17">
        <v>1.0900000000000001</v>
      </c>
      <c r="T71" s="14">
        <f t="shared" si="4"/>
        <v>6</v>
      </c>
      <c r="U71" s="14">
        <f t="shared" si="5"/>
        <v>4</v>
      </c>
      <c r="V71" s="16">
        <v>0.23728813559322035</v>
      </c>
      <c r="W71" s="17">
        <v>0.31372549019607843</v>
      </c>
      <c r="X71" s="16">
        <v>0.17857142857142858</v>
      </c>
      <c r="Y71" s="14">
        <v>1</v>
      </c>
    </row>
    <row r="72" spans="1:25">
      <c r="A72" s="14" t="s">
        <v>104</v>
      </c>
      <c r="B72" s="14" t="s">
        <v>105</v>
      </c>
      <c r="C72" s="14" t="s">
        <v>237</v>
      </c>
      <c r="D72" s="15">
        <v>6.4021739130434785</v>
      </c>
      <c r="E72" s="15">
        <v>1.0593361243566366</v>
      </c>
      <c r="F72" s="15">
        <v>4.0108695652173916</v>
      </c>
      <c r="G72" s="15">
        <v>2.2063572744141524</v>
      </c>
      <c r="H72" s="16">
        <v>5.1195652173913047</v>
      </c>
      <c r="I72" s="16">
        <v>1.814728456085462</v>
      </c>
      <c r="J72" s="15">
        <v>6.4347826086956523</v>
      </c>
      <c r="K72" s="15">
        <v>1.945998135515675</v>
      </c>
      <c r="L72" s="16">
        <v>4.8586956521739131</v>
      </c>
      <c r="M72" s="16">
        <v>0.60367959151495187</v>
      </c>
      <c r="N72" s="16">
        <v>5</v>
      </c>
      <c r="O72" s="17">
        <v>0.29411764705882354</v>
      </c>
      <c r="P72" s="17">
        <v>0.70588235294117652</v>
      </c>
      <c r="Q72" s="17">
        <v>0.94117647058823517</v>
      </c>
      <c r="R72" s="16">
        <v>0.64705882352941169</v>
      </c>
      <c r="S72" s="17">
        <v>2.4</v>
      </c>
      <c r="T72" s="14">
        <f t="shared" si="4"/>
        <v>5</v>
      </c>
      <c r="U72" s="14">
        <f t="shared" si="5"/>
        <v>9</v>
      </c>
      <c r="V72" s="16">
        <v>0.30508474576271188</v>
      </c>
      <c r="W72" s="17">
        <v>0.80392156862745101</v>
      </c>
      <c r="X72" s="16">
        <v>0.8214285714285714</v>
      </c>
      <c r="Y72" s="14">
        <v>1</v>
      </c>
    </row>
    <row r="73" spans="1:25">
      <c r="A73" s="14" t="s">
        <v>52</v>
      </c>
      <c r="B73" s="14" t="s">
        <v>53</v>
      </c>
      <c r="C73" s="14" t="s">
        <v>238</v>
      </c>
      <c r="D73" s="15">
        <v>6.8586956521739131</v>
      </c>
      <c r="E73" s="15">
        <v>0.54634694405441064</v>
      </c>
      <c r="F73" s="15">
        <v>4.6413043478260869</v>
      </c>
      <c r="G73" s="15">
        <v>2.4022952474258994</v>
      </c>
      <c r="H73" s="16">
        <v>6.0978260869565215</v>
      </c>
      <c r="I73" s="16">
        <v>2.6892532670347449</v>
      </c>
      <c r="J73" s="15">
        <v>2.847826086956522</v>
      </c>
      <c r="K73" s="15">
        <v>2.4130359456328843</v>
      </c>
      <c r="L73" s="16">
        <v>1.4456521739130435</v>
      </c>
      <c r="M73" s="16">
        <v>0.81691096579687206</v>
      </c>
      <c r="N73" s="16">
        <v>1</v>
      </c>
      <c r="O73" s="17">
        <v>0.17647058823529413</v>
      </c>
      <c r="P73" s="17">
        <v>0.52941176470588236</v>
      </c>
      <c r="Q73" s="17">
        <v>0.70588235294117652</v>
      </c>
      <c r="R73" s="16">
        <v>0.4705882352941177</v>
      </c>
      <c r="S73" s="17">
        <v>1.36</v>
      </c>
      <c r="T73" s="14">
        <f t="shared" si="4"/>
        <v>8</v>
      </c>
      <c r="U73" s="14">
        <f t="shared" si="5"/>
        <v>4</v>
      </c>
      <c r="V73" s="16">
        <v>0.22033898305084745</v>
      </c>
      <c r="W73" s="17">
        <v>0.35294117647058826</v>
      </c>
      <c r="X73" s="16">
        <v>0.2857142857142857</v>
      </c>
      <c r="Y73" s="14">
        <v>1</v>
      </c>
    </row>
    <row r="74" spans="1:25">
      <c r="A74" s="14" t="s">
        <v>66</v>
      </c>
      <c r="B74" s="14" t="s">
        <v>67</v>
      </c>
      <c r="C74" s="14" t="s">
        <v>239</v>
      </c>
      <c r="D74" s="15">
        <v>5.0543478260869561</v>
      </c>
      <c r="E74" s="15">
        <v>1.4851952950708922</v>
      </c>
      <c r="F74" s="15">
        <v>4.25</v>
      </c>
      <c r="G74" s="15">
        <v>2.176926959962366</v>
      </c>
      <c r="H74" s="16">
        <v>1.8913043478260869</v>
      </c>
      <c r="I74" s="16">
        <v>1.4559957261977672</v>
      </c>
      <c r="J74" s="15">
        <v>7.0652173913043477</v>
      </c>
      <c r="K74" s="15">
        <v>1.8857729218178028</v>
      </c>
      <c r="L74" s="16">
        <v>1.4456521739130435</v>
      </c>
      <c r="M74" s="16">
        <v>0.9301321002101669</v>
      </c>
      <c r="N74" s="16">
        <v>1</v>
      </c>
      <c r="O74" s="17">
        <v>5.8823529411764712E-2</v>
      </c>
      <c r="P74" s="17">
        <v>0.35294117647058826</v>
      </c>
      <c r="Q74" s="17">
        <v>0.47058823529411764</v>
      </c>
      <c r="R74" s="16">
        <v>0.29411764705882354</v>
      </c>
      <c r="S74" s="17">
        <v>0.65</v>
      </c>
      <c r="T74" s="14">
        <f t="shared" si="4"/>
        <v>6</v>
      </c>
      <c r="U74" s="14">
        <f t="shared" si="5"/>
        <v>7</v>
      </c>
      <c r="V74" s="14"/>
      <c r="W74" s="14"/>
      <c r="X74" s="14"/>
      <c r="Y74" s="14">
        <v>0</v>
      </c>
    </row>
    <row r="75" spans="1:25">
      <c r="A75" s="14" t="s">
        <v>110</v>
      </c>
      <c r="B75" s="14" t="s">
        <v>111</v>
      </c>
      <c r="C75" s="14" t="s">
        <v>240</v>
      </c>
      <c r="D75" s="15">
        <v>6.0108695652173916</v>
      </c>
      <c r="E75" s="15">
        <v>1.2795480419237946</v>
      </c>
      <c r="F75" s="15">
        <v>6.6956521739130439</v>
      </c>
      <c r="G75" s="15">
        <v>0.67513336793608014</v>
      </c>
      <c r="H75" s="16">
        <v>6.5543478260869561</v>
      </c>
      <c r="I75" s="16">
        <v>1.8299350281793771</v>
      </c>
      <c r="J75" s="15">
        <v>3.4239130434782608</v>
      </c>
      <c r="K75" s="15">
        <v>2.1186440596985916</v>
      </c>
      <c r="L75" s="16">
        <v>3.4456521739130435</v>
      </c>
      <c r="M75" s="16">
        <v>1.5574290623591616</v>
      </c>
      <c r="N75" s="16">
        <v>4</v>
      </c>
      <c r="O75" s="17">
        <v>0.26315789473684209</v>
      </c>
      <c r="P75" s="17">
        <v>0.42105263157894735</v>
      </c>
      <c r="Q75" s="17">
        <v>0.63157894736842113</v>
      </c>
      <c r="R75" s="16">
        <v>0.43859649122807021</v>
      </c>
      <c r="S75" s="17">
        <v>0.87</v>
      </c>
      <c r="T75" s="14">
        <f t="shared" si="4"/>
        <v>5</v>
      </c>
      <c r="U75" s="14">
        <f t="shared" si="5"/>
        <v>6</v>
      </c>
      <c r="V75" s="14"/>
      <c r="W75" s="14"/>
      <c r="X75" s="14"/>
      <c r="Y75" s="14">
        <v>0</v>
      </c>
    </row>
    <row r="76" spans="1:25">
      <c r="A76" s="14" t="s">
        <v>86</v>
      </c>
      <c r="B76" s="14" t="s">
        <v>87</v>
      </c>
      <c r="C76" s="14" t="s">
        <v>241</v>
      </c>
      <c r="D76" s="15">
        <v>5.4239130434782608</v>
      </c>
      <c r="E76" s="15">
        <v>1.4618496160849721</v>
      </c>
      <c r="F76" s="15">
        <v>4.8586956521739131</v>
      </c>
      <c r="G76" s="15">
        <v>1.9976993456437047</v>
      </c>
      <c r="H76" s="16">
        <v>7.5978260869565215</v>
      </c>
      <c r="I76" s="16">
        <v>1.6311512997967028</v>
      </c>
      <c r="J76" s="15">
        <v>5.6739130434782608</v>
      </c>
      <c r="K76" s="15">
        <v>2.6689451167664568</v>
      </c>
      <c r="L76" s="16">
        <v>3.0760869565217392</v>
      </c>
      <c r="M76" s="16">
        <v>1.5207986309409787</v>
      </c>
      <c r="N76" s="16">
        <v>3</v>
      </c>
      <c r="O76" s="17">
        <v>0.36842105263157893</v>
      </c>
      <c r="P76" s="17">
        <v>0.68421052631578949</v>
      </c>
      <c r="Q76" s="17">
        <v>0.84210526315789458</v>
      </c>
      <c r="R76" s="16">
        <v>0.63157894736842091</v>
      </c>
      <c r="S76" s="17">
        <v>1.69</v>
      </c>
      <c r="T76" s="14">
        <f t="shared" si="4"/>
        <v>6</v>
      </c>
      <c r="U76" s="14">
        <f t="shared" si="5"/>
        <v>7</v>
      </c>
      <c r="V76" s="16">
        <v>0.10169491525423729</v>
      </c>
      <c r="W76" s="17">
        <v>0.60784313725490191</v>
      </c>
      <c r="X76" s="16">
        <v>0.2857142857142857</v>
      </c>
      <c r="Y76" s="14">
        <v>1</v>
      </c>
    </row>
    <row r="77" spans="1:25">
      <c r="A77" s="14" t="s">
        <v>62</v>
      </c>
      <c r="B77" s="14" t="s">
        <v>63</v>
      </c>
      <c r="C77" s="14" t="s">
        <v>242</v>
      </c>
      <c r="D77" s="15">
        <v>4.9239130434782608</v>
      </c>
      <c r="E77" s="15">
        <v>1.6188022682107484</v>
      </c>
      <c r="F77" s="15">
        <v>5.1847826086956523</v>
      </c>
      <c r="G77" s="15">
        <v>1.8571474512053143</v>
      </c>
      <c r="H77" s="16">
        <v>4.2934782608695654</v>
      </c>
      <c r="I77" s="16">
        <v>1.5935173858050236</v>
      </c>
      <c r="J77" s="15">
        <v>4.8586956521739131</v>
      </c>
      <c r="K77" s="15">
        <v>1.9076567626113807</v>
      </c>
      <c r="L77" s="16">
        <v>3.1413043478260869</v>
      </c>
      <c r="M77" s="16">
        <v>1.5729968719300644</v>
      </c>
      <c r="N77" s="16">
        <v>3</v>
      </c>
      <c r="O77" s="17">
        <v>5.8823529411764719E-2</v>
      </c>
      <c r="P77" s="17">
        <v>0.41176470588235292</v>
      </c>
      <c r="Q77" s="17">
        <v>0.70588235294117652</v>
      </c>
      <c r="R77" s="16">
        <v>0.39215686274509803</v>
      </c>
      <c r="S77" s="17">
        <v>0.37</v>
      </c>
      <c r="T77" s="14">
        <f t="shared" si="4"/>
        <v>4</v>
      </c>
      <c r="U77" s="14">
        <f t="shared" si="5"/>
        <v>4</v>
      </c>
      <c r="V77" s="14"/>
      <c r="W77" s="14"/>
      <c r="X77" s="14"/>
      <c r="Y77" s="14">
        <v>0</v>
      </c>
    </row>
    <row r="78" spans="1:25">
      <c r="A78" s="14" t="s">
        <v>132</v>
      </c>
      <c r="B78" s="14" t="s">
        <v>133</v>
      </c>
      <c r="C78" s="14" t="s">
        <v>243</v>
      </c>
      <c r="D78" s="15">
        <v>6.5652173913043477</v>
      </c>
      <c r="E78" s="15">
        <v>0.96424368615388212</v>
      </c>
      <c r="F78" s="15">
        <v>6.9239130434782608</v>
      </c>
      <c r="G78" s="15">
        <v>0.3987258732836409</v>
      </c>
      <c r="H78" s="16">
        <v>7.2608695652173916</v>
      </c>
      <c r="I78" s="16">
        <v>1.8449191603088029</v>
      </c>
      <c r="J78" s="15">
        <v>4.0652173913043477</v>
      </c>
      <c r="K78" s="15">
        <v>2.4709492228922474</v>
      </c>
      <c r="L78" s="16">
        <v>1.423913043478261</v>
      </c>
      <c r="M78" s="16">
        <v>0.85464079791124625</v>
      </c>
      <c r="N78" s="16">
        <v>1</v>
      </c>
      <c r="O78" s="17">
        <v>0.41176470588235287</v>
      </c>
      <c r="P78" s="17">
        <v>0.88235294117647045</v>
      </c>
      <c r="Q78" s="17">
        <v>0.94117647058823528</v>
      </c>
      <c r="R78" s="16">
        <v>0.74509803921568629</v>
      </c>
      <c r="S78" s="17">
        <v>1.07</v>
      </c>
      <c r="T78" s="14">
        <f t="shared" si="4"/>
        <v>6</v>
      </c>
      <c r="U78" s="14">
        <f t="shared" si="5"/>
        <v>6</v>
      </c>
      <c r="V78" s="16">
        <v>0.3728813559322034</v>
      </c>
      <c r="W78" s="17">
        <v>0.72549019607843135</v>
      </c>
      <c r="X78" s="16">
        <v>0.7142857142857143</v>
      </c>
      <c r="Y78" s="14">
        <v>1</v>
      </c>
    </row>
    <row r="79" spans="1:25">
      <c r="A79" s="14" t="s">
        <v>4</v>
      </c>
      <c r="B79" s="14" t="s">
        <v>5</v>
      </c>
      <c r="C79" s="14" t="s">
        <v>244</v>
      </c>
      <c r="D79" s="15">
        <v>4.1847826086956523</v>
      </c>
      <c r="E79" s="15">
        <v>1.6302723282659264</v>
      </c>
      <c r="F79" s="15">
        <v>5.6847826086956523</v>
      </c>
      <c r="G79" s="15">
        <v>1.6702263308239802</v>
      </c>
      <c r="H79" s="16">
        <v>2.7717391304347827</v>
      </c>
      <c r="I79" s="16">
        <v>1.7358739817883626</v>
      </c>
      <c r="J79" s="15">
        <v>6.5434782608695654</v>
      </c>
      <c r="K79" s="15">
        <v>2.1299179341269516</v>
      </c>
      <c r="L79" s="16">
        <v>1.6956521739130435</v>
      </c>
      <c r="M79" s="16">
        <v>1.0766158868405293</v>
      </c>
      <c r="N79" s="16">
        <v>1</v>
      </c>
      <c r="O79" s="17">
        <v>0</v>
      </c>
      <c r="P79" s="17">
        <v>0.15789473684210525</v>
      </c>
      <c r="Q79" s="17">
        <v>0.26315789473684215</v>
      </c>
      <c r="R79" s="16">
        <v>0.14035087719298248</v>
      </c>
      <c r="S79" s="17">
        <v>0.08</v>
      </c>
      <c r="T79" s="14">
        <f t="shared" si="4"/>
        <v>7</v>
      </c>
      <c r="U79" s="14">
        <f t="shared" si="5"/>
        <v>10</v>
      </c>
      <c r="V79" s="16">
        <v>6.7796610169491525E-2</v>
      </c>
      <c r="W79" s="17">
        <v>0.21568627450980393</v>
      </c>
      <c r="X79" s="16">
        <v>0.17857142857142858</v>
      </c>
      <c r="Y79" s="14">
        <v>1</v>
      </c>
    </row>
    <row r="80" spans="1:25">
      <c r="A80" s="14" t="s">
        <v>32</v>
      </c>
      <c r="B80" s="14" t="s">
        <v>159</v>
      </c>
      <c r="C80" s="14" t="s">
        <v>245</v>
      </c>
      <c r="D80" s="15">
        <v>5.2065217391304346</v>
      </c>
      <c r="E80" s="15">
        <v>1.4864815266906428</v>
      </c>
      <c r="F80" s="15">
        <v>6.3260869565217392</v>
      </c>
      <c r="G80" s="15">
        <v>1.1493781945529131</v>
      </c>
      <c r="H80" s="16">
        <v>2.0434782608695654</v>
      </c>
      <c r="I80" s="16">
        <v>1.5542429942697193</v>
      </c>
      <c r="J80" s="15">
        <v>6.5652173913043477</v>
      </c>
      <c r="K80" s="15">
        <v>2.1033952031877226</v>
      </c>
      <c r="L80" s="16">
        <v>2.1086956521739131</v>
      </c>
      <c r="M80" s="16">
        <v>1.417756482903906</v>
      </c>
      <c r="N80" s="16">
        <v>1</v>
      </c>
      <c r="O80" s="17">
        <v>5.8823529411764712E-2</v>
      </c>
      <c r="P80" s="17">
        <v>0.35294117647058826</v>
      </c>
      <c r="Q80" s="17">
        <v>0.47058823529411764</v>
      </c>
      <c r="R80" s="16">
        <v>0.29411764705882354</v>
      </c>
      <c r="S80" s="17">
        <v>1</v>
      </c>
      <c r="T80" s="14">
        <f t="shared" si="4"/>
        <v>6</v>
      </c>
      <c r="U80" s="14">
        <f t="shared" si="5"/>
        <v>6</v>
      </c>
      <c r="V80" s="14"/>
      <c r="W80" s="14"/>
      <c r="X80" s="14"/>
      <c r="Y80" s="14">
        <v>0</v>
      </c>
    </row>
    <row r="81" spans="1:25" s="3" customFormat="1">
      <c r="A81" s="14" t="s">
        <v>134</v>
      </c>
      <c r="B81" s="14" t="s">
        <v>135</v>
      </c>
      <c r="C81" s="14" t="s">
        <v>246</v>
      </c>
      <c r="D81" s="15">
        <v>6.5108695652173916</v>
      </c>
      <c r="E81" s="15">
        <v>0.84508358670257788</v>
      </c>
      <c r="F81" s="15">
        <v>6.8043478260869561</v>
      </c>
      <c r="G81" s="15">
        <v>0.74478598496602599</v>
      </c>
      <c r="H81" s="16">
        <v>4.7391304347826084</v>
      </c>
      <c r="I81" s="16">
        <v>1.8508659405944436</v>
      </c>
      <c r="J81" s="15">
        <v>5.2934782608695654</v>
      </c>
      <c r="K81" s="15">
        <v>1.9919510755624252</v>
      </c>
      <c r="L81" s="16">
        <v>3.2934782608695654</v>
      </c>
      <c r="M81" s="16">
        <v>1.4337995589852834</v>
      </c>
      <c r="N81" s="16">
        <v>3</v>
      </c>
      <c r="O81" s="17">
        <v>5.8823529411764712E-2</v>
      </c>
      <c r="P81" s="17">
        <v>0.35294117647058826</v>
      </c>
      <c r="Q81" s="17">
        <v>0.52941176470588236</v>
      </c>
      <c r="R81" s="16">
        <v>0.31372549019607843</v>
      </c>
      <c r="S81" s="17">
        <v>0.21</v>
      </c>
      <c r="T81" s="14">
        <f t="shared" si="4"/>
        <v>5</v>
      </c>
      <c r="U81" s="14">
        <f t="shared" si="5"/>
        <v>8</v>
      </c>
      <c r="V81" s="14"/>
      <c r="W81" s="14"/>
      <c r="X81" s="14"/>
      <c r="Y81" s="14">
        <v>0</v>
      </c>
    </row>
  </sheetData>
  <sortState ref="A2:AD81">
    <sortCondition ref="B2:B81"/>
  </sortState>
  <printOptions horizont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About</vt:lpstr>
      <vt:lpstr>Stimuli</vt:lpstr>
      <vt:lpstr>Stimuli!Area_de_impressao</vt:lpstr>
      <vt:lpstr>About!Titulos_de_impressao</vt:lpstr>
      <vt:lpstr>Stimuli!Titulos_de_impressao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2020-10-02T01:10:05Z</dcterms:created>
  <dcterms:modified xsi:type="dcterms:W3CDTF">2021-01-12T12:50:00Z</dcterms:modified>
</cp:coreProperties>
</file>